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sumen Anual" sheetId="2" r:id="rId6"/>
    <sheet state="visible" name="Metas de Ahorro" sheetId="3" r:id="rId7"/>
    <sheet state="visible" name="Mauro" sheetId="4" r:id="rId8"/>
    <sheet state="visible" name="Daiana" sheetId="5" r:id="rId9"/>
    <sheet state="visible" name="Enero" sheetId="6" r:id="rId10"/>
    <sheet state="visible" name="Febrero" sheetId="7" r:id="rId11"/>
    <sheet state="visible" name="Marzo" sheetId="8" r:id="rId12"/>
    <sheet state="visible" name="Abril" sheetId="9" r:id="rId13"/>
    <sheet state="visible" name="Mayo" sheetId="10" r:id="rId14"/>
    <sheet state="visible" name="Junio" sheetId="11" r:id="rId15"/>
    <sheet state="visible" name="Julio" sheetId="12" r:id="rId16"/>
    <sheet state="visible" name="Agosto" sheetId="13" r:id="rId17"/>
    <sheet state="visible" name="Septiembre" sheetId="14" r:id="rId18"/>
    <sheet state="visible" name="Octubre" sheetId="15" r:id="rId19"/>
    <sheet state="visible" name="Noviembre" sheetId="16" r:id="rId20"/>
    <sheet state="visible" name="Diciembre" sheetId="17" r:id="rId21"/>
    <sheet state="visible" name="Configuracion" sheetId="18" r:id="rId22"/>
  </sheets>
  <definedNames/>
  <calcPr/>
</workbook>
</file>

<file path=xl/sharedStrings.xml><?xml version="1.0" encoding="utf-8"?>
<sst xmlns="http://schemas.openxmlformats.org/spreadsheetml/2006/main" count="564" uniqueCount="156">
  <si>
    <t>CONTROL DE GASTOS PERSONALES 2025</t>
  </si>
  <si>
    <t>Seleccionar Mes:</t>
  </si>
  <si>
    <t>Enero</t>
  </si>
  <si>
    <t>INGRESOS</t>
  </si>
  <si>
    <t>GASTOS</t>
  </si>
  <si>
    <t>BALANCE</t>
  </si>
  <si>
    <t>% AHORRO</t>
  </si>
  <si>
    <t>RESUMEN POR PERSONA</t>
  </si>
  <si>
    <t>Persona</t>
  </si>
  <si>
    <t>Ingresos</t>
  </si>
  <si>
    <t>Gastos</t>
  </si>
  <si>
    <t>Balance</t>
  </si>
  <si>
    <t>% Gasto Total</t>
  </si>
  <si>
    <t>MAURO</t>
  </si>
  <si>
    <t>DAIANA</t>
  </si>
  <si>
    <t>GASTOS POR CATEGORIA DEL MES</t>
  </si>
  <si>
    <t>FORMA DE PAGO</t>
  </si>
  <si>
    <t>Categoria</t>
  </si>
  <si>
    <t>Monto</t>
  </si>
  <si>
    <t>%</t>
  </si>
  <si>
    <t>Forma</t>
  </si>
  <si>
    <t>Alimentación</t>
  </si>
  <si>
    <t>Efectivo</t>
  </si>
  <si>
    <t>Transporte</t>
  </si>
  <si>
    <t>Tarjeta Debito</t>
  </si>
  <si>
    <t>Vivienda</t>
  </si>
  <si>
    <t>Tarjeta Credito</t>
  </si>
  <si>
    <t>Salud</t>
  </si>
  <si>
    <t>Transferencia</t>
  </si>
  <si>
    <t>Educación</t>
  </si>
  <si>
    <t>Entretenimiento</t>
  </si>
  <si>
    <t>Ropa</t>
  </si>
  <si>
    <t>Servicios</t>
  </si>
  <si>
    <t>Ahorro</t>
  </si>
  <si>
    <t>Otros</t>
  </si>
  <si>
    <t>RESUMEN ANUAL 2025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</si>
  <si>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</si>
  <si>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</si>
  <si>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</si>
  <si>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</si>
  <si>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</si>
  <si>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</si>
  <si>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</si>
  <si>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</si>
  <si>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</si>
  <si>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</si>
  <si>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</si>
  <si>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</si>
  <si>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</si>
  <si>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</si>
  <si>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PROM</t>
  </si>
  <si>
    <t>MAX</t>
  </si>
  <si>
    <t>Ingresos Franco</t>
  </si>
  <si>
    <t>Ingresos Pareja</t>
  </si>
  <si>
    <t>TOTAL INGRESOS</t>
  </si>
  <si>
    <t>TOTAL GASTOS</t>
  </si>
  <si>
    <t>AHORRO</t>
  </si>
  <si>
    <t>GASTOS POR CATEGORIA (ANUAL)</t>
  </si>
  <si>
    <t>METAS DE AHORRO 2025</t>
  </si>
  <si>
    <t>Ingresa tus metas anuales. El ahorro real se calcula automaticamente desde las hojas mensuales.</t>
  </si>
  <si>
    <t>Meta Anual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</si>
  <si>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</si>
  <si>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</si>
  <si>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</si>
  <si>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</si>
  <si>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</si>
  <si>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</si>
  <si>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</si>
  <si>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</si>
  <si>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</si>
  <si>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</si>
  <si>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</si>
  <si>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</si>
  <si>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</si>
  <si>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</si>
  <si>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%Cumpl</t>
  </si>
  <si>
    <t>RESUMEN GLOBAL DEL HOGAR</t>
  </si>
  <si>
    <t>Meta Total Anual</t>
  </si>
  <si>
    <t>Total Ahorrado</t>
  </si>
  <si>
    <t>Cumplimiento %</t>
  </si>
  <si>
    <t>Falta para Meta</t>
  </si>
  <si>
    <t>PROGRESO ANUAL</t>
  </si>
  <si>
    <t>PERFIL DE FRANCO 2025</t>
  </si>
  <si>
    <t>Ingresos Anuales</t>
  </si>
  <si>
    <t>Gastos Anuales</t>
  </si>
  <si>
    <t>Balance Anual</t>
  </si>
  <si>
    <t>% Ahorro Anual</t>
  </si>
  <si>
    <t>Mes</t>
  </si>
  <si>
    <t>% Ahorro</t>
  </si>
  <si>
    <t>GASTOS POR CATEGORIA</t>
  </si>
  <si>
    <t>Total Anual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</si>
  <si>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</si>
  <si>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</si>
  <si>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</si>
  <si>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</si>
  <si>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</si>
  <si>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</si>
  <si>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</si>
  <si>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</si>
  <si>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</si>
  <si>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</si>
  <si>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</si>
  <si>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PERFIL DE PAREJA 2025</t>
  </si>
  <si>
    <t>ENERO 2025 - REGISTRO DE MOVIMIENTOS</t>
  </si>
  <si>
    <t>Total Ingresos</t>
  </si>
  <si>
    <t>#</t>
  </si>
  <si>
    <t>Fecha</t>
  </si>
  <si>
    <t>Forma de Pago</t>
  </si>
  <si>
    <t>Descripcion</t>
  </si>
  <si>
    <t>Etiqueta</t>
  </si>
  <si>
    <t>Notas</t>
  </si>
  <si>
    <t>TOTALES DEL MES</t>
  </si>
  <si>
    <t>RESUMEN DEL MES</t>
  </si>
  <si>
    <t>POR PERSONA</t>
  </si>
  <si>
    <t>Franco</t>
  </si>
  <si>
    <t>Pareja</t>
  </si>
  <si>
    <t>FEBRERO 2025 - REGISTRO DE MOVIMIENTOS</t>
  </si>
  <si>
    <t>MARZO 2025 - REGISTRO DE MOVIMIENTOS</t>
  </si>
  <si>
    <t>ABRIL 2025 - REGISTRO DE MOVIMIENTOS</t>
  </si>
  <si>
    <t>Mauro</t>
  </si>
  <si>
    <t>Daiana</t>
  </si>
  <si>
    <t>Pago de alquiler</t>
  </si>
  <si>
    <t>Fijo</t>
  </si>
  <si>
    <t>Pago prestamo</t>
  </si>
  <si>
    <t>Pago por cosmeticos</t>
  </si>
  <si>
    <t>Variable</t>
  </si>
  <si>
    <t>Tarjeta Débito</t>
  </si>
  <si>
    <t>IPS</t>
  </si>
  <si>
    <t>Quincena</t>
  </si>
  <si>
    <t>Vestido</t>
  </si>
  <si>
    <t>Comita (triangulo)</t>
  </si>
  <si>
    <t>Luz</t>
  </si>
  <si>
    <t>Agua</t>
  </si>
  <si>
    <t>Basura</t>
  </si>
  <si>
    <t>Vale de compras LG</t>
  </si>
  <si>
    <t>MAYO 2025 - REGISTRO DE MOVIMIENTOS</t>
  </si>
  <si>
    <t>JUNIO 2025 - REGISTRO DE MOVIMIENTOS</t>
  </si>
  <si>
    <t>JULIO 2025 - REGISTRO DE MOVIMIENTOS</t>
  </si>
  <si>
    <t>AGOSTO 2025 - REGISTRO DE MOVIMIENTOS</t>
  </si>
  <si>
    <t>SEPTIEMBRE 2025 - REGISTRO DE MOVIMIENTOS</t>
  </si>
  <si>
    <t>OCTUBRE 2025 - REGISTRO DE MOVIMIENTOS</t>
  </si>
  <si>
    <t>NOVIEMBRE 2025 - REGISTRO DE MOVIMIENTOS</t>
  </si>
  <si>
    <t>DICIEMBRE 2025 - REGISTRO DE MOVIMIENTOS</t>
  </si>
  <si>
    <t>CONFIGURACION DE LA PLANTILLA</t>
  </si>
  <si>
    <t>Estos valores alimentan los desplegables. Modificalos segun tus necesidades.</t>
  </si>
  <si>
    <t>Categorias de Gasto</t>
  </si>
  <si>
    <t>Formas de Pago</t>
  </si>
  <si>
    <t>Personas</t>
  </si>
  <si>
    <t>Tarjeta Crédito</t>
  </si>
  <si>
    <t>INSTRUCCIONES DE USO</t>
  </si>
  <si>
    <t>1. Ve al Dashboard y selecciona el mes a visualizar.</t>
  </si>
  <si>
    <t>2. En cada hoja mensual registra tus ingresos (celdas C3/D3) y gastos en la tabla.</t>
  </si>
  <si>
    <t>3. Usa los desplegables para Persona, Categoria y Forma de Pago.</t>
  </si>
  <si>
    <t>4. El Resumen Anual y los graficos se actualizan automaticamente.</t>
  </si>
  <si>
    <t>5. En Metas de Ahorro ingresa el objetivo anual por persona.</t>
  </si>
  <si>
    <t>6. Las hojas Franco y Pareja muestran el perfil individual de cada uno.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</si>
</sst>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G-3009]#,##0"/>
    <numFmt numFmtId="165" formatCode="0.0&quot;%&quot;"/>
    <numFmt numFmtId="166" formatCode="DD/MM/YYYY"/>
  </numFmts>
  <fonts count="3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sz val="11.0"/>
      <color rgb="FF90CAF9"/>
      <name val="Arial"/>
      <scheme val="minor"/>
    </font>
    <font>
      <b/>
      <sz val="12.0"/>
      <color rgb="FF1A73E8"/>
      <name val="Arial"/>
      <scheme val="minor"/>
    </font>
    <font>
      <b/>
      <sz val="13.0"/>
      <color theme="1"/>
      <name val="Arial"/>
      <scheme val="minor"/>
    </font>
    <font>
      <b/>
      <color rgb="FFFFFFFF"/>
      <name val="Arial"/>
      <scheme val="minor"/>
    </font>
    <font>
      <b/>
      <sz val="18.0"/>
      <color rgb="FF1B5E20"/>
      <name val="Arial"/>
      <scheme val="minor"/>
    </font>
    <font>
      <b/>
      <sz val="18.0"/>
      <color rgb="FFB71C1C"/>
      <name val="Arial"/>
      <scheme val="minor"/>
    </font>
    <font>
      <b/>
      <sz val="18.0"/>
      <color rgb="FF0D47A1"/>
      <name val="Arial"/>
      <scheme val="minor"/>
    </font>
    <font>
      <b/>
      <sz val="18.0"/>
      <color rgb="FF4A148C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  <scheme val="minor"/>
    </font>
    <font>
      <i/>
      <color rgb="FF4A148C"/>
      <name val="Arial"/>
      <scheme val="minor"/>
    </font>
    <font>
      <b/>
      <sz val="13.0"/>
      <color rgb="FFFFFFFF"/>
      <name val="Arial"/>
      <scheme val="minor"/>
    </font>
    <font>
      <b/>
      <sz val="11.0"/>
      <color theme="1"/>
      <name val="Arial"/>
      <scheme val="minor"/>
    </font>
    <font>
      <b/>
      <sz val="18.0"/>
      <color theme="1"/>
      <name val="Arial"/>
      <scheme val="minor"/>
    </font>
    <font>
      <sz val="22.0"/>
      <color rgb="FF4A148C"/>
      <name val="Courier New"/>
    </font>
    <font>
      <b/>
      <sz val="15.0"/>
      <color rgb="FFFFFFFF"/>
      <name val="Arial"/>
      <scheme val="minor"/>
    </font>
    <font>
      <b/>
      <sz val="17.0"/>
      <color theme="1"/>
      <name val="Arial"/>
      <scheme val="minor"/>
    </font>
    <font>
      <b/>
      <color rgb="FF80CBC4"/>
      <name val="Arial"/>
      <scheme val="minor"/>
    </font>
    <font>
      <b/>
      <color rgb="FFEF9A9A"/>
      <name val="Arial"/>
      <scheme val="minor"/>
    </font>
    <font>
      <b/>
      <color rgb="FF90CAF9"/>
      <name val="Arial"/>
      <scheme val="minor"/>
    </font>
    <font>
      <b/>
      <color rgb="FFCE93D8"/>
      <name val="Arial"/>
      <scheme val="minor"/>
    </font>
    <font>
      <b/>
      <sz val="14.0"/>
      <color rgb="FFFFFFFF"/>
      <name val="Arial"/>
      <scheme val="minor"/>
    </font>
    <font>
      <b/>
      <color rgb="FFECEFF1"/>
      <name val="Arial"/>
      <scheme val="minor"/>
    </font>
    <font>
      <i/>
      <color rgb="FF757575"/>
      <name val="Arial"/>
      <scheme val="minor"/>
    </font>
    <font>
      <b/>
      <sz val="13.0"/>
      <color rgb="FFFFB74D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rgb="FF546E7A"/>
      <name val="Arial"/>
      <scheme val="minor"/>
    </font>
    <font>
      <color rgb="FF1565C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1B5E20"/>
        <bgColor rgb="FF1B5E20"/>
      </patternFill>
    </fill>
    <fill>
      <patternFill patternType="solid">
        <fgColor rgb="FFB71C1C"/>
        <bgColor rgb="FFB71C1C"/>
      </patternFill>
    </fill>
    <fill>
      <patternFill patternType="solid">
        <fgColor rgb="FF4A148C"/>
        <bgColor rgb="FF4A148C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37474F"/>
        <bgColor rgb="FF37474F"/>
      </patternFill>
    </fill>
    <fill>
      <patternFill patternType="solid">
        <fgColor rgb="FF546E7A"/>
        <bgColor rgb="FF546E7A"/>
      </patternFill>
    </fill>
    <fill>
      <patternFill patternType="solid">
        <fgColor rgb="FFECEFF1"/>
        <bgColor rgb="FFECEFF1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BF360C"/>
        <bgColor rgb="FFBF360C"/>
      </patternFill>
    </fill>
    <fill>
      <patternFill patternType="solid">
        <fgColor rgb="FF283593"/>
        <bgColor rgb="FF283593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263238"/>
        <bgColor rgb="FF263238"/>
      </patternFill>
    </fill>
    <fill>
      <patternFill patternType="solid">
        <fgColor rgb="FFA5D6A7"/>
        <bgColor rgb="FFA5D6A7"/>
      </patternFill>
    </fill>
    <fill>
      <patternFill patternType="solid">
        <fgColor rgb="FFFFCDD2"/>
        <bgColor rgb="FFFFCDD2"/>
      </patternFill>
    </fill>
    <fill>
      <patternFill patternType="solid">
        <fgColor rgb="FFBBDEFB"/>
        <bgColor rgb="FFBBDEFB"/>
      </patternFill>
    </fill>
    <fill>
      <patternFill patternType="solid">
        <fgColor rgb="FFE8EAF6"/>
        <bgColor rgb="FFE8EAF6"/>
      </patternFill>
    </fill>
    <fill>
      <patternFill patternType="solid">
        <fgColor rgb="FFFAFAFA"/>
        <bgColor rgb="FFFAFAFA"/>
      </patternFill>
    </fill>
    <fill>
      <patternFill patternType="solid">
        <fgColor rgb="FFEDE7F6"/>
        <bgColor rgb="FFEDE7F6"/>
      </patternFill>
    </fill>
    <fill>
      <patternFill patternType="solid">
        <fgColor rgb="FF6A1B9A"/>
        <bgColor rgb="FF6A1B9A"/>
      </patternFill>
    </fill>
    <fill>
      <patternFill patternType="solid">
        <fgColor rgb="FF7B1FA2"/>
        <bgColor rgb="FF7B1FA2"/>
      </patternFill>
    </fill>
    <fill>
      <patternFill patternType="solid">
        <fgColor rgb="FF006064"/>
        <bgColor rgb="FF006064"/>
      </patternFill>
    </fill>
    <fill>
      <patternFill patternType="solid">
        <fgColor rgb="FFF5F5F5"/>
        <bgColor rgb="FFF5F5F5"/>
      </patternFill>
    </fill>
    <fill>
      <patternFill patternType="solid">
        <fgColor rgb="FF0277BD"/>
        <bgColor rgb="FF0277BD"/>
      </patternFill>
    </fill>
    <fill>
      <patternFill patternType="solid">
        <fgColor rgb="FF2E7D32"/>
        <bgColor rgb="FF2E7D32"/>
      </patternFill>
    </fill>
    <fill>
      <patternFill patternType="solid">
        <fgColor rgb="FFEEEEEE"/>
        <bgColor rgb="FFEEEEEE"/>
      </patternFill>
    </fill>
    <fill>
      <patternFill patternType="solid">
        <fgColor rgb="FF455A64"/>
        <bgColor rgb="FF455A64"/>
      </patternFill>
    </fill>
  </fills>
  <borders count="1">
    <border/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6" numFmtId="164" xfId="0" applyAlignment="1" applyFill="1" applyFont="1" applyNumberFormat="1">
      <alignment horizontal="center" vertical="center"/>
    </xf>
    <xf borderId="0" fillId="9" fontId="7" numFmtId="164" xfId="0" applyAlignment="1" applyFill="1" applyFont="1" applyNumberFormat="1">
      <alignment horizontal="center" vertical="center"/>
    </xf>
    <xf borderId="0" fillId="4" fontId="8" numFmtId="164" xfId="0" applyAlignment="1" applyFont="1" applyNumberFormat="1">
      <alignment horizontal="center" vertical="center"/>
    </xf>
    <xf borderId="0" fillId="10" fontId="9" numFmtId="165" xfId="0" applyAlignment="1" applyFill="1" applyFont="1" applyNumberFormat="1">
      <alignment horizontal="center" vertical="center"/>
    </xf>
    <xf borderId="0" fillId="11" fontId="10" numFmtId="0" xfId="0" applyAlignment="1" applyFill="1" applyFon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13" fontId="11" numFmtId="0" xfId="0" applyAlignment="1" applyFill="1" applyFont="1">
      <alignment horizontal="center" readingOrder="0"/>
    </xf>
    <xf borderId="0" fillId="8" fontId="12" numFmtId="164" xfId="0" applyAlignment="1" applyFont="1" applyNumberFormat="1">
      <alignment horizontal="center"/>
    </xf>
    <xf borderId="0" fillId="9" fontId="12" numFmtId="164" xfId="0" applyAlignment="1" applyFont="1" applyNumberFormat="1">
      <alignment horizontal="center"/>
    </xf>
    <xf borderId="0" fillId="4" fontId="13" numFmtId="164" xfId="0" applyAlignment="1" applyFont="1" applyNumberFormat="1">
      <alignment horizontal="center"/>
    </xf>
    <xf borderId="0" fillId="10" fontId="12" numFmtId="165" xfId="0" applyAlignment="1" applyFont="1" applyNumberFormat="1">
      <alignment horizontal="center"/>
    </xf>
    <xf borderId="0" fillId="14" fontId="10" numFmtId="0" xfId="0" applyAlignment="1" applyFill="1" applyFont="1">
      <alignment horizontal="center" readingOrder="0"/>
    </xf>
    <xf borderId="0" fillId="15" fontId="10" numFmtId="0" xfId="0" applyAlignment="1" applyFill="1" applyFont="1">
      <alignment horizontal="center" readingOrder="0"/>
    </xf>
    <xf borderId="0" fillId="16" fontId="5" numFmtId="0" xfId="0" applyAlignment="1" applyFill="1" applyFont="1">
      <alignment horizontal="center" readingOrder="0"/>
    </xf>
    <xf borderId="0" fillId="17" fontId="5" numFmtId="0" xfId="0" applyAlignment="1" applyFill="1" applyFont="1">
      <alignment horizontal="center" readingOrder="0"/>
    </xf>
    <xf borderId="0" fillId="18" fontId="12" numFmtId="0" xfId="0" applyAlignment="1" applyFill="1" applyFont="1">
      <alignment horizontal="center" readingOrder="0"/>
    </xf>
    <xf borderId="0" fillId="18" fontId="12" numFmtId="164" xfId="0" applyAlignment="1" applyFont="1" applyNumberFormat="1">
      <alignment horizontal="right"/>
    </xf>
    <xf borderId="0" fillId="18" fontId="12" numFmtId="165" xfId="0" applyAlignment="1" applyFont="1" applyNumberFormat="1">
      <alignment horizontal="center"/>
    </xf>
    <xf borderId="0" fillId="8" fontId="13" numFmtId="0" xfId="0" applyAlignment="1" applyFont="1">
      <alignment horizontal="center" readingOrder="0"/>
    </xf>
    <xf borderId="0" fillId="8" fontId="12" numFmtId="164" xfId="0" applyAlignment="1" applyFont="1" applyNumberFormat="1">
      <alignment horizontal="right"/>
    </xf>
    <xf borderId="0" fillId="19" fontId="12" numFmtId="0" xfId="0" applyAlignment="1" applyFill="1" applyFont="1">
      <alignment horizontal="center" readingOrder="0"/>
    </xf>
    <xf borderId="0" fillId="19" fontId="12" numFmtId="164" xfId="0" applyAlignment="1" applyFont="1" applyNumberFormat="1">
      <alignment horizontal="right"/>
    </xf>
    <xf borderId="0" fillId="19" fontId="12" numFmtId="165" xfId="0" applyAlignment="1" applyFont="1" applyNumberFormat="1">
      <alignment horizontal="center"/>
    </xf>
    <xf borderId="0" fillId="4" fontId="13" numFmtId="0" xfId="0" applyAlignment="1" applyFont="1">
      <alignment horizontal="center" readingOrder="0"/>
    </xf>
    <xf borderId="0" fillId="4" fontId="12" numFmtId="164" xfId="0" applyAlignment="1" applyFont="1" applyNumberFormat="1">
      <alignment horizontal="right"/>
    </xf>
    <xf borderId="0" fillId="20" fontId="13" numFmtId="0" xfId="0" applyAlignment="1" applyFill="1" applyFont="1">
      <alignment horizontal="center" readingOrder="0"/>
    </xf>
    <xf borderId="0" fillId="20" fontId="12" numFmtId="164" xfId="0" applyAlignment="1" applyFont="1" applyNumberFormat="1">
      <alignment horizontal="right"/>
    </xf>
    <xf borderId="0" fillId="21" fontId="13" numFmtId="0" xfId="0" applyAlignment="1" applyFill="1" applyFont="1">
      <alignment horizontal="center" readingOrder="0"/>
    </xf>
    <xf borderId="0" fillId="21" fontId="12" numFmtId="164" xfId="0" applyAlignment="1" applyFont="1" applyNumberFormat="1">
      <alignment horizontal="right"/>
    </xf>
    <xf borderId="0" fillId="5" fontId="14" numFmtId="0" xfId="0" applyAlignment="1" applyFont="1">
      <alignment horizontal="center" readingOrder="0" vertical="center"/>
    </xf>
    <xf borderId="0" fillId="22" fontId="5" numFmtId="0" xfId="0" applyAlignment="1" applyFill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8" fontId="12" numFmtId="0" xfId="0" applyAlignment="1" applyFont="1">
      <alignment readingOrder="0"/>
    </xf>
    <xf borderId="0" fillId="8" fontId="13" numFmtId="164" xfId="0" applyAlignment="1" applyFont="1" applyNumberFormat="1">
      <alignment horizontal="center"/>
    </xf>
    <xf borderId="0" fillId="23" fontId="13" numFmtId="0" xfId="0" applyAlignment="1" applyFill="1" applyFont="1">
      <alignment readingOrder="0"/>
    </xf>
    <xf borderId="0" fillId="23" fontId="13" numFmtId="164" xfId="0" applyAlignment="1" applyFont="1" applyNumberFormat="1">
      <alignment horizontal="center"/>
    </xf>
    <xf borderId="0" fillId="23" fontId="12" numFmtId="164" xfId="0" applyAlignment="1" applyFont="1" applyNumberFormat="1">
      <alignment horizontal="center"/>
    </xf>
    <xf borderId="0" fillId="24" fontId="13" numFmtId="0" xfId="0" applyAlignment="1" applyFill="1" applyFont="1">
      <alignment readingOrder="0"/>
    </xf>
    <xf borderId="0" fillId="24" fontId="13" numFmtId="164" xfId="0" applyAlignment="1" applyFont="1" applyNumberFormat="1">
      <alignment horizontal="center"/>
    </xf>
    <xf borderId="0" fillId="24" fontId="12" numFmtId="164" xfId="0" applyAlignment="1" applyFont="1" applyNumberFormat="1">
      <alignment horizontal="center"/>
    </xf>
    <xf borderId="0" fillId="25" fontId="13" numFmtId="0" xfId="0" applyAlignment="1" applyFill="1" applyFont="1">
      <alignment readingOrder="0"/>
    </xf>
    <xf borderId="0" fillId="25" fontId="13" numFmtId="164" xfId="0" applyAlignment="1" applyFont="1" applyNumberFormat="1">
      <alignment horizontal="center"/>
    </xf>
    <xf borderId="0" fillId="25" fontId="12" numFmtId="164" xfId="0" applyAlignment="1" applyFont="1" applyNumberFormat="1">
      <alignment horizontal="center"/>
    </xf>
    <xf borderId="0" fillId="26" fontId="13" numFmtId="0" xfId="0" applyAlignment="1" applyFill="1" applyFont="1">
      <alignment readingOrder="0"/>
    </xf>
    <xf borderId="0" fillId="26" fontId="13" numFmtId="164" xfId="0" applyAlignment="1" applyFont="1" applyNumberFormat="1">
      <alignment horizontal="center"/>
    </xf>
    <xf borderId="0" fillId="26" fontId="12" numFmtId="164" xfId="0" applyAlignment="1" applyFont="1" applyNumberFormat="1">
      <alignment horizontal="center"/>
    </xf>
    <xf borderId="0" fillId="18" fontId="12" numFmtId="0" xfId="0" applyAlignment="1" applyFont="1">
      <alignment readingOrder="0"/>
    </xf>
    <xf borderId="0" fillId="18" fontId="12" numFmtId="164" xfId="0" applyAlignment="1" applyFont="1" applyNumberFormat="1">
      <alignment horizontal="center"/>
    </xf>
    <xf borderId="0" fillId="18" fontId="13" numFmtId="164" xfId="0" applyAlignment="1" applyFont="1" applyNumberFormat="1">
      <alignment horizontal="center"/>
    </xf>
    <xf borderId="0" fillId="27" fontId="12" numFmtId="0" xfId="0" applyAlignment="1" applyFill="1" applyFont="1">
      <alignment readingOrder="0"/>
    </xf>
    <xf borderId="0" fillId="27" fontId="12" numFmtId="164" xfId="0" applyAlignment="1" applyFont="1" applyNumberFormat="1">
      <alignment horizontal="center"/>
    </xf>
    <xf borderId="0" fillId="27" fontId="13" numFmtId="164" xfId="0" applyAlignment="1" applyFont="1" applyNumberFormat="1">
      <alignment horizontal="center"/>
    </xf>
    <xf borderId="0" fillId="7" fontId="14" numFmtId="0" xfId="0" applyAlignment="1" applyFont="1">
      <alignment horizontal="center" readingOrder="0" vertical="center"/>
    </xf>
    <xf borderId="0" fillId="28" fontId="15" numFmtId="0" xfId="0" applyAlignment="1" applyFill="1" applyFont="1">
      <alignment horizontal="center" readingOrder="0"/>
    </xf>
    <xf borderId="0" fillId="29" fontId="5" numFmtId="0" xfId="0" applyAlignment="1" applyFill="1" applyFont="1">
      <alignment horizontal="center" readingOrder="0"/>
    </xf>
    <xf borderId="0" fillId="30" fontId="5" numFmtId="0" xfId="0" applyAlignment="1" applyFill="1" applyFont="1">
      <alignment horizontal="center" readingOrder="0"/>
    </xf>
    <xf borderId="0" fillId="10" fontId="13" numFmtId="0" xfId="0" applyAlignment="1" applyFont="1">
      <alignment horizontal="center" readingOrder="0"/>
    </xf>
    <xf borderId="0" fillId="28" fontId="12" numFmtId="164" xfId="0" applyAlignment="1" applyFont="1" applyNumberFormat="1">
      <alignment horizontal="center"/>
    </xf>
    <xf borderId="0" fillId="10" fontId="12" numFmtId="164" xfId="0" applyAlignment="1" applyFont="1" applyNumberFormat="1">
      <alignment horizontal="center" readingOrder="0"/>
    </xf>
    <xf borderId="0" fillId="28" fontId="12" numFmtId="164" xfId="0" applyAlignment="1" applyFont="1" applyNumberFormat="1">
      <alignment horizontal="center" readingOrder="0"/>
    </xf>
    <xf borderId="0" fillId="26" fontId="12" numFmtId="165" xfId="0" applyAlignment="1" applyFont="1" applyNumberFormat="1">
      <alignment horizontal="center"/>
    </xf>
    <xf borderId="0" fillId="30" fontId="16" numFmtId="0" xfId="0" applyAlignment="1" applyFont="1">
      <alignment horizontal="center" readingOrder="0"/>
    </xf>
    <xf borderId="0" fillId="26" fontId="17" numFmtId="0" xfId="0" applyAlignment="1" applyFont="1">
      <alignment horizontal="center" readingOrder="0"/>
    </xf>
    <xf borderId="0" fillId="8" fontId="17" numFmtId="0" xfId="0" applyAlignment="1" applyFont="1">
      <alignment horizontal="center" readingOrder="0"/>
    </xf>
    <xf borderId="0" fillId="21" fontId="17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26" fontId="18" numFmtId="164" xfId="0" applyAlignment="1" applyFont="1" applyNumberFormat="1">
      <alignment horizontal="center"/>
    </xf>
    <xf borderId="0" fillId="8" fontId="18" numFmtId="164" xfId="0" applyAlignment="1" applyFont="1" applyNumberFormat="1">
      <alignment horizontal="center"/>
    </xf>
    <xf borderId="0" fillId="21" fontId="18" numFmtId="165" xfId="0" applyAlignment="1" applyFont="1" applyNumberFormat="1">
      <alignment horizontal="center"/>
    </xf>
    <xf borderId="0" fillId="9" fontId="18" numFmtId="164" xfId="0" applyAlignment="1" applyFont="1" applyNumberFormat="1">
      <alignment horizontal="center"/>
    </xf>
    <xf borderId="0" fillId="28" fontId="19" numFmtId="0" xfId="0" applyAlignment="1" applyFont="1">
      <alignment horizontal="center"/>
    </xf>
    <xf borderId="0" fillId="31" fontId="20" numFmtId="0" xfId="0" applyAlignment="1" applyFill="1" applyFont="1">
      <alignment horizontal="center" readingOrder="0" vertical="center"/>
    </xf>
    <xf borderId="0" fillId="9" fontId="13" numFmtId="0" xfId="0" applyAlignment="1" applyFont="1">
      <alignment horizontal="center" readingOrder="0"/>
    </xf>
    <xf borderId="0" fillId="8" fontId="21" numFmtId="164" xfId="0" applyAlignment="1" applyFont="1" applyNumberFormat="1">
      <alignment horizontal="center"/>
    </xf>
    <xf borderId="0" fillId="9" fontId="21" numFmtId="164" xfId="0" applyAlignment="1" applyFont="1" applyNumberFormat="1">
      <alignment horizontal="center"/>
    </xf>
    <xf borderId="0" fillId="4" fontId="21" numFmtId="164" xfId="0" applyAlignment="1" applyFont="1" applyNumberFormat="1">
      <alignment horizontal="center"/>
    </xf>
    <xf borderId="0" fillId="10" fontId="21" numFmtId="165" xfId="0" applyAlignment="1" applyFont="1" applyNumberFormat="1">
      <alignment horizontal="center"/>
    </xf>
    <xf borderId="0" fillId="14" fontId="5" numFmtId="0" xfId="0" applyAlignment="1" applyFont="1">
      <alignment horizontal="center" readingOrder="0"/>
    </xf>
    <xf borderId="0" fillId="32" fontId="12" numFmtId="0" xfId="0" applyAlignment="1" applyFill="1" applyFont="1">
      <alignment horizontal="center" readingOrder="0"/>
    </xf>
    <xf borderId="0" fillId="32" fontId="12" numFmtId="165" xfId="0" applyAlignment="1" applyFont="1" applyNumberFormat="1">
      <alignment horizontal="center"/>
    </xf>
    <xf borderId="0" fillId="27" fontId="12" numFmtId="0" xfId="0" applyAlignment="1" applyFont="1">
      <alignment horizontal="center" readingOrder="0"/>
    </xf>
    <xf borderId="0" fillId="27" fontId="12" numFmtId="164" xfId="0" applyAlignment="1" applyFont="1" applyNumberFormat="1">
      <alignment horizontal="right"/>
    </xf>
    <xf borderId="0" fillId="22" fontId="22" numFmtId="164" xfId="0" applyAlignment="1" applyFont="1" applyNumberFormat="1">
      <alignment horizontal="center"/>
    </xf>
    <xf borderId="0" fillId="22" fontId="23" numFmtId="164" xfId="0" applyAlignment="1" applyFont="1" applyNumberFormat="1">
      <alignment horizontal="center"/>
    </xf>
    <xf borderId="0" fillId="22" fontId="24" numFmtId="164" xfId="0" applyAlignment="1" applyFont="1" applyNumberFormat="1">
      <alignment horizontal="center"/>
    </xf>
    <xf borderId="0" fillId="22" fontId="25" numFmtId="165" xfId="0" applyAlignment="1" applyFont="1" applyNumberFormat="1">
      <alignment horizontal="center"/>
    </xf>
    <xf borderId="0" fillId="33" fontId="26" numFmtId="0" xfId="0" applyAlignment="1" applyFill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34" fontId="5" numFmtId="0" xfId="0" applyAlignment="1" applyFill="1" applyFont="1">
      <alignment horizontal="center" readingOrder="0"/>
    </xf>
    <xf borderId="0" fillId="8" fontId="12" numFmtId="164" xfId="0" applyAlignment="1" applyFont="1" applyNumberFormat="1">
      <alignment horizontal="center" readingOrder="0"/>
    </xf>
    <xf borderId="0" fillId="22" fontId="27" numFmtId="0" xfId="0" applyAlignment="1" applyFont="1">
      <alignment horizontal="center" readingOrder="0" vertical="center"/>
    </xf>
    <xf borderId="0" fillId="35" fontId="12" numFmtId="0" xfId="0" applyAlignment="1" applyFill="1" applyFont="1">
      <alignment horizontal="center"/>
    </xf>
    <xf borderId="0" fillId="32" fontId="12" numFmtId="166" xfId="0" applyAlignment="1" applyFont="1" applyNumberFormat="1">
      <alignment horizontal="center" readingOrder="0"/>
    </xf>
    <xf borderId="0" fillId="32" fontId="12" numFmtId="164" xfId="0" applyAlignment="1" applyFont="1" applyNumberFormat="1">
      <alignment horizontal="right" readingOrder="0"/>
    </xf>
    <xf borderId="0" fillId="32" fontId="12" numFmtId="0" xfId="0" applyAlignment="1" applyFont="1">
      <alignment readingOrder="0"/>
    </xf>
    <xf borderId="0" fillId="32" fontId="28" numFmtId="0" xfId="0" applyFont="1"/>
    <xf borderId="0" fillId="19" fontId="12" numFmtId="164" xfId="0" applyAlignment="1" applyFont="1" applyNumberFormat="1">
      <alignment horizontal="right" readingOrder="0"/>
    </xf>
    <xf borderId="0" fillId="19" fontId="12" numFmtId="0" xfId="0" applyAlignment="1" applyFont="1">
      <alignment readingOrder="0"/>
    </xf>
    <xf borderId="0" fillId="19" fontId="28" numFmtId="0" xfId="0" applyFont="1"/>
    <xf borderId="0" fillId="19" fontId="12" numFmtId="0" xfId="0" applyAlignment="1" applyFont="1">
      <alignment horizontal="center"/>
    </xf>
    <xf borderId="0" fillId="19" fontId="12" numFmtId="166" xfId="0" applyAlignment="1" applyFont="1" applyNumberFormat="1">
      <alignment horizontal="center"/>
    </xf>
    <xf borderId="0" fillId="19" fontId="12" numFmtId="0" xfId="0" applyFont="1"/>
    <xf borderId="0" fillId="32" fontId="12" numFmtId="0" xfId="0" applyAlignment="1" applyFont="1">
      <alignment horizontal="center"/>
    </xf>
    <xf borderId="0" fillId="32" fontId="12" numFmtId="166" xfId="0" applyAlignment="1" applyFont="1" applyNumberFormat="1">
      <alignment horizontal="center"/>
    </xf>
    <xf borderId="0" fillId="32" fontId="12" numFmtId="164" xfId="0" applyAlignment="1" applyFont="1" applyNumberFormat="1">
      <alignment horizontal="right"/>
    </xf>
    <xf borderId="0" fillId="32" fontId="12" numFmtId="0" xfId="0" applyFont="1"/>
    <xf borderId="0" fillId="22" fontId="29" numFmtId="164" xfId="0" applyAlignment="1" applyFont="1" applyNumberFormat="1">
      <alignment horizontal="right"/>
    </xf>
    <xf borderId="0" fillId="2" fontId="16" numFmtId="0" xfId="0" applyAlignment="1" applyFont="1">
      <alignment horizontal="center" readingOrder="0"/>
    </xf>
    <xf borderId="0" fillId="26" fontId="13" numFmtId="0" xfId="0" applyAlignment="1" applyFont="1">
      <alignment horizontal="center" readingOrder="0"/>
    </xf>
    <xf borderId="0" fillId="8" fontId="30" numFmtId="164" xfId="0" applyAlignment="1" applyFont="1" applyNumberFormat="1">
      <alignment horizontal="center"/>
    </xf>
    <xf borderId="0" fillId="9" fontId="30" numFmtId="164" xfId="0" applyAlignment="1" applyFont="1" applyNumberFormat="1">
      <alignment horizontal="center"/>
    </xf>
    <xf borderId="0" fillId="4" fontId="30" numFmtId="164" xfId="0" applyAlignment="1" applyFont="1" applyNumberFormat="1">
      <alignment horizontal="center"/>
    </xf>
    <xf borderId="0" fillId="26" fontId="30" numFmtId="164" xfId="0" applyAlignment="1" applyFont="1" applyNumberFormat="1">
      <alignment horizontal="center"/>
    </xf>
    <xf borderId="0" fillId="36" fontId="5" numFmtId="0" xfId="0" applyAlignment="1" applyFill="1" applyFont="1">
      <alignment horizontal="center"/>
    </xf>
    <xf borderId="0" fillId="36" fontId="5" numFmtId="0" xfId="0" applyAlignment="1" applyFont="1">
      <alignment horizontal="center" readingOrder="0"/>
    </xf>
    <xf borderId="0" fillId="13" fontId="13" numFmtId="0" xfId="0" applyAlignment="1" applyFont="1">
      <alignment horizontal="center" readingOrder="0"/>
    </xf>
    <xf borderId="0" fillId="8" fontId="31" numFmtId="164" xfId="0" applyAlignment="1" applyFont="1" applyNumberFormat="1">
      <alignment horizontal="center" vertical="bottom"/>
    </xf>
    <xf borderId="0" fillId="23" fontId="32" numFmtId="164" xfId="0" applyAlignment="1" applyFont="1" applyNumberFormat="1">
      <alignment horizontal="center" vertical="bottom"/>
    </xf>
    <xf borderId="0" fillId="0" fontId="31" numFmtId="0" xfId="0" applyAlignment="1" applyFont="1">
      <alignment horizontal="center" vertical="bottom"/>
    </xf>
    <xf borderId="0" fillId="32" fontId="31" numFmtId="166" xfId="0" applyAlignment="1" applyFont="1" applyNumberFormat="1">
      <alignment horizontal="center" vertical="bottom"/>
    </xf>
    <xf borderId="0" fillId="32" fontId="31" numFmtId="0" xfId="0" applyAlignment="1" applyFont="1">
      <alignment horizontal="center" vertical="bottom"/>
    </xf>
    <xf borderId="0" fillId="32" fontId="31" numFmtId="164" xfId="0" applyAlignment="1" applyFont="1" applyNumberFormat="1">
      <alignment horizontal="right" vertical="bottom"/>
    </xf>
    <xf borderId="0" fillId="32" fontId="31" numFmtId="0" xfId="0" applyAlignment="1" applyFont="1">
      <alignment vertical="bottom"/>
    </xf>
    <xf borderId="0" fillId="19" fontId="31" numFmtId="0" xfId="0" applyAlignment="1" applyFont="1">
      <alignment horizontal="center" vertical="bottom"/>
    </xf>
    <xf borderId="0" fillId="19" fontId="31" numFmtId="164" xfId="0" applyAlignment="1" applyFont="1" applyNumberFormat="1">
      <alignment horizontal="right" vertical="bottom"/>
    </xf>
    <xf borderId="0" fillId="19" fontId="31" numFmtId="0" xfId="0" applyAlignment="1" applyFont="1">
      <alignment vertical="bottom"/>
    </xf>
    <xf borderId="0" fillId="32" fontId="31" numFmtId="0" xfId="0" applyAlignment="1" applyFont="1">
      <alignment horizontal="center" readingOrder="0" vertical="bottom"/>
    </xf>
    <xf borderId="0" fillId="11" fontId="26" numFmtId="0" xfId="0" applyAlignment="1" applyFont="1">
      <alignment horizontal="center" readingOrder="0"/>
    </xf>
    <xf borderId="0" fillId="13" fontId="33" numFmtId="0" xfId="0" applyAlignment="1" applyFont="1">
      <alignment horizontal="center" readingOrder="0"/>
    </xf>
    <xf borderId="0" fillId="13" fontId="12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4" fontId="34" numFmtId="0" xfId="0" applyAlignment="1" applyFont="1">
      <alignment readingOrder="0" shrinkToFit="0" wrapText="1"/>
    </xf>
    <xf borderId="0" fillId="19" fontId="3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73E8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12" width="16.38"/>
  </cols>
  <sheetData>
    <row r="1" ht="41.25" customHeight="1">
      <c r="B1" s="1" t="s">
        <v>0</v>
      </c>
    </row>
    <row r="2" ht="22.5" customHeight="1">
      <c r="B2" s="2" t="str">
        <f>"Actualizado: "&amp;TEXT(NOW(),"DD/MM/YYYY")</f>
        <v>#ERROR!</v>
      </c>
    </row>
    <row r="4" ht="28.5" customHeight="1">
      <c r="B4" s="3" t="s">
        <v>1</v>
      </c>
      <c r="D4" s="4" t="s">
        <v>2</v>
      </c>
    </row>
    <row r="6" ht="22.5" customHeight="1">
      <c r="B6" s="5" t="s">
        <v>3</v>
      </c>
      <c r="D6" s="6" t="s">
        <v>4</v>
      </c>
      <c r="F6" s="7" t="s">
        <v>5</v>
      </c>
      <c r="H6" s="8" t="s">
        <v>6</v>
      </c>
    </row>
    <row r="7" ht="41.25" customHeight="1">
      <c r="B7" s="9" t="str">
        <f>IFERROR(INDIRECT("'"&amp;D4&amp;"'!E3"),0)</f>
        <v>#ERROR!</v>
      </c>
      <c r="D7" s="10" t="str">
        <f>IFERROR(SUM(INDIRECT("'"&amp;D4&amp;"'!F6:F55")),0)</f>
        <v>#ERROR!</v>
      </c>
      <c r="F7" s="11">
        <f>G7-I7</f>
        <v>0</v>
      </c>
      <c r="H7" s="12" t="str">
        <f>IFERROR(K7/G7*100,"")</f>
        <v/>
      </c>
    </row>
    <row r="8" ht="9.0" customHeight="1"/>
    <row r="9" ht="24.0" customHeight="1">
      <c r="B9" s="13" t="s">
        <v>7</v>
      </c>
    </row>
    <row r="10">
      <c r="B10" s="14" t="s">
        <v>8</v>
      </c>
      <c r="D10" s="14" t="s">
        <v>9</v>
      </c>
      <c r="F10" s="14" t="s">
        <v>10</v>
      </c>
      <c r="H10" s="14" t="s">
        <v>11</v>
      </c>
      <c r="J10" s="14" t="s">
        <v>12</v>
      </c>
    </row>
    <row r="11" ht="26.25" customHeight="1">
      <c r="B11" s="15" t="s">
        <v>13</v>
      </c>
      <c r="D11" s="16" t="str">
        <f>IFERROR(INDIRECT("'"&amp;D4&amp;"'!C3"),0)</f>
        <v>#ERROR!</v>
      </c>
      <c r="F11" s="17" t="str">
        <f>IFERROR(SUMIFS(INDIRECT("'"&amp;D4&amp;"'!F:F"),INDIRECT("'"&amp;D4&amp;"'!C:C"),"Franco"),0)</f>
        <v>#ERROR!</v>
      </c>
      <c r="H11" s="18" t="str">
        <f t="shared" ref="H11:H12" si="1">D11-F11</f>
        <v>#ERROR!</v>
      </c>
      <c r="J11" s="19" t="str">
        <f>IFERROR(F11/I7*100,"")</f>
        <v/>
      </c>
    </row>
    <row r="12" ht="26.25" customHeight="1">
      <c r="B12" s="15" t="s">
        <v>14</v>
      </c>
      <c r="D12" s="16" t="str">
        <f>IFERROR(INDIRECT("'"&amp;D4&amp;"'!D3"),0)</f>
        <v>#ERROR!</v>
      </c>
      <c r="F12" s="17" t="str">
        <f>IFERROR(SUMIFS(INDIRECT("'"&amp;D4&amp;"'!F:F"),INDIRECT("'"&amp;D4&amp;"'!C:C"),"Pareja"),0)</f>
        <v>#ERROR!</v>
      </c>
      <c r="H12" s="18" t="str">
        <f t="shared" si="1"/>
        <v>#ERROR!</v>
      </c>
      <c r="J12" s="19" t="str">
        <f>IFERROR(F12/I7*100,"")</f>
        <v/>
      </c>
    </row>
    <row r="13" ht="9.0" customHeight="1"/>
    <row r="14">
      <c r="B14" s="20" t="s">
        <v>15</v>
      </c>
      <c r="I14" s="21" t="s">
        <v>16</v>
      </c>
    </row>
    <row r="15">
      <c r="B15" s="22" t="s">
        <v>17</v>
      </c>
      <c r="D15" s="22" t="s">
        <v>18</v>
      </c>
      <c r="F15" s="22" t="s">
        <v>19</v>
      </c>
      <c r="I15" s="23" t="s">
        <v>20</v>
      </c>
      <c r="K15" s="23" t="s">
        <v>18</v>
      </c>
    </row>
    <row r="16" ht="24.0" customHeight="1">
      <c r="B16" s="24" t="s">
        <v>21</v>
      </c>
      <c r="D16" s="25" t="str">
        <f>IFERROR(SUMIFS(INDIRECT("'"&amp;D4&amp;"'!F:F"),INDIRECT("'"&amp;D4&amp;"'!E:E"),"Alimentación"),0)</f>
        <v>#ERROR!</v>
      </c>
      <c r="F16" s="26" t="str">
        <f>IFERROR(D16/I7*100,"")</f>
        <v/>
      </c>
      <c r="I16" s="27" t="s">
        <v>22</v>
      </c>
      <c r="K16" s="28" t="str">
        <f>IFERROR(SUMIFS(INDIRECT("'"&amp;D4&amp;"'!F:F"),INDIRECT("'"&amp;D4&amp;"'!G:G"),"Efectivo"),0)</f>
        <v>#ERROR!</v>
      </c>
    </row>
    <row r="17" ht="24.0" customHeight="1">
      <c r="B17" s="29" t="s">
        <v>23</v>
      </c>
      <c r="D17" s="30" t="str">
        <f>IFERROR(SUMIFS(INDIRECT("'"&amp;D4&amp;"'!F:F"),INDIRECT("'"&amp;D4&amp;"'!E:E"),"Transporte"),0)</f>
        <v>#ERROR!</v>
      </c>
      <c r="F17" s="31" t="str">
        <f>IFERROR(D17/I7*100,"")</f>
        <v/>
      </c>
      <c r="I17" s="32" t="s">
        <v>24</v>
      </c>
      <c r="K17" s="33" t="str">
        <f>IFERROR(SUMIFS(INDIRECT("'"&amp;D4&amp;"'!F:F"),INDIRECT("'"&amp;D4&amp;"'!G:G"),"Tarjeta Debito"),0)</f>
        <v>#ERROR!</v>
      </c>
    </row>
    <row r="18" ht="24.0" customHeight="1">
      <c r="B18" s="24" t="s">
        <v>25</v>
      </c>
      <c r="D18" s="25" t="str">
        <f>IFERROR(SUMIFS(INDIRECT("'"&amp;D4&amp;"'!F:F"),INDIRECT("'"&amp;D4&amp;"'!E:E"),"Vivienda"),0)</f>
        <v>#ERROR!</v>
      </c>
      <c r="F18" s="26" t="str">
        <f>IFERROR(D18/I7*100,"")</f>
        <v/>
      </c>
      <c r="I18" s="34" t="s">
        <v>26</v>
      </c>
      <c r="K18" s="35" t="str">
        <f>IFERROR(SUMIFS(INDIRECT("'"&amp;D4&amp;"'!F:F"),INDIRECT("'"&amp;D4&amp;"'!G:G"),"Tarjeta Credito"),0)</f>
        <v>#ERROR!</v>
      </c>
    </row>
    <row r="19" ht="24.0" customHeight="1">
      <c r="B19" s="29" t="s">
        <v>27</v>
      </c>
      <c r="D19" s="30" t="str">
        <f>IFERROR(SUMIFS(INDIRECT("'"&amp;D4&amp;"'!F:F"),INDIRECT("'"&amp;D4&amp;"'!E:E"),"Salud"),0)</f>
        <v>#ERROR!</v>
      </c>
      <c r="F19" s="31" t="str">
        <f>IFERROR(D19/I7*100,"")</f>
        <v/>
      </c>
      <c r="I19" s="36" t="s">
        <v>28</v>
      </c>
      <c r="K19" s="37" t="str">
        <f>IFERROR(SUMIFS(INDIRECT("'"&amp;D4&amp;"'!F:F"),INDIRECT("'"&amp;D4&amp;"'!G:G"),"Transferencia"),0)</f>
        <v>#ERROR!</v>
      </c>
    </row>
    <row r="20">
      <c r="B20" s="24" t="s">
        <v>29</v>
      </c>
      <c r="D20" s="25" t="str">
        <f>IFERROR(SUMIFS(INDIRECT("'"&amp;D4&amp;"'!F:F"),INDIRECT("'"&amp;D4&amp;"'!E:E"),"Educación"),0)</f>
        <v>#ERROR!</v>
      </c>
      <c r="F20" s="26" t="str">
        <f>IFERROR(D20/I7*100,"")</f>
        <v/>
      </c>
    </row>
    <row r="21">
      <c r="B21" s="29" t="s">
        <v>30</v>
      </c>
      <c r="D21" s="30" t="str">
        <f>IFERROR(SUMIFS(INDIRECT("'"&amp;D4&amp;"'!F:F"),INDIRECT("'"&amp;D4&amp;"'!E:E"),"Entretenimiento"),0)</f>
        <v>#ERROR!</v>
      </c>
      <c r="F21" s="31" t="str">
        <f>IFERROR(D21/I7*100,"")</f>
        <v/>
      </c>
    </row>
    <row r="22">
      <c r="B22" s="24" t="s">
        <v>31</v>
      </c>
      <c r="D22" s="25" t="str">
        <f>IFERROR(SUMIFS(INDIRECT("'"&amp;D4&amp;"'!F:F"),INDIRECT("'"&amp;D4&amp;"'!E:E"),"Ropa"),0)</f>
        <v>#ERROR!</v>
      </c>
      <c r="F22" s="26" t="str">
        <f>IFERROR(D22/I7*100,"")</f>
        <v/>
      </c>
    </row>
    <row r="23">
      <c r="B23" s="29" t="s">
        <v>32</v>
      </c>
      <c r="D23" s="30" t="str">
        <f>IFERROR(SUMIFS(INDIRECT("'"&amp;D4&amp;"'!F:F"),INDIRECT("'"&amp;D4&amp;"'!E:E"),"Servicios"),0)</f>
        <v>#ERROR!</v>
      </c>
      <c r="F23" s="31" t="str">
        <f>IFERROR(D23/I7*100,"")</f>
        <v/>
      </c>
    </row>
    <row r="24">
      <c r="B24" s="24" t="s">
        <v>33</v>
      </c>
      <c r="D24" s="25" t="str">
        <f>IFERROR(SUMIFS(INDIRECT("'"&amp;D4&amp;"'!F:F"),INDIRECT("'"&amp;D4&amp;"'!E:E"),"Ahorro"),0)</f>
        <v>#ERROR!</v>
      </c>
      <c r="F24" s="26" t="str">
        <f>IFERROR(D24/I7*100,"")</f>
        <v/>
      </c>
    </row>
    <row r="25">
      <c r="B25" s="29" t="s">
        <v>34</v>
      </c>
      <c r="D25" s="30" t="str">
        <f>IFERROR(SUMIFS(INDIRECT("'"&amp;D4&amp;"'!F:F"),INDIRECT("'"&amp;D4&amp;"'!E:E"),"Otros"),0)</f>
        <v>#ERROR!</v>
      </c>
      <c r="F25" s="31" t="str">
        <f>IFERROR(D25/I7*100,"")</f>
        <v/>
      </c>
    </row>
  </sheetData>
  <mergeCells count="71">
    <mergeCell ref="D12:E12"/>
    <mergeCell ref="B14:G14"/>
    <mergeCell ref="I14:L14"/>
    <mergeCell ref="D15:E15"/>
    <mergeCell ref="F15:G15"/>
    <mergeCell ref="I15:J15"/>
    <mergeCell ref="K15:L15"/>
    <mergeCell ref="B15:C15"/>
    <mergeCell ref="B16:C16"/>
    <mergeCell ref="D16:E16"/>
    <mergeCell ref="F16:G16"/>
    <mergeCell ref="I16:J16"/>
    <mergeCell ref="K16:L16"/>
    <mergeCell ref="B17:C17"/>
    <mergeCell ref="D17:E17"/>
    <mergeCell ref="F17:G17"/>
    <mergeCell ref="B18:C18"/>
    <mergeCell ref="D18:E18"/>
    <mergeCell ref="F18:G18"/>
    <mergeCell ref="D19:E19"/>
    <mergeCell ref="F19:G19"/>
    <mergeCell ref="B19:C19"/>
    <mergeCell ref="B20:C20"/>
    <mergeCell ref="D20:E20"/>
    <mergeCell ref="F20:G20"/>
    <mergeCell ref="B21:C21"/>
    <mergeCell ref="D21:E21"/>
    <mergeCell ref="F21:G21"/>
    <mergeCell ref="D24:E24"/>
    <mergeCell ref="F24:G24"/>
    <mergeCell ref="B22:C22"/>
    <mergeCell ref="D22:E22"/>
    <mergeCell ref="F22:G22"/>
    <mergeCell ref="B23:C23"/>
    <mergeCell ref="D23:E23"/>
    <mergeCell ref="F23:G23"/>
    <mergeCell ref="B24:C24"/>
    <mergeCell ref="D7:E7"/>
    <mergeCell ref="F7:G7"/>
    <mergeCell ref="B1:L1"/>
    <mergeCell ref="B2:L2"/>
    <mergeCell ref="B6:C6"/>
    <mergeCell ref="D6:E6"/>
    <mergeCell ref="F6:G6"/>
    <mergeCell ref="H6:I6"/>
    <mergeCell ref="B7:C7"/>
    <mergeCell ref="H7:I7"/>
    <mergeCell ref="B9:L9"/>
    <mergeCell ref="B10:C10"/>
    <mergeCell ref="D10:E10"/>
    <mergeCell ref="F10:G10"/>
    <mergeCell ref="H10:I10"/>
    <mergeCell ref="J10:K10"/>
    <mergeCell ref="F12:G12"/>
    <mergeCell ref="H12:I12"/>
    <mergeCell ref="B11:C11"/>
    <mergeCell ref="D11:E11"/>
    <mergeCell ref="F11:G11"/>
    <mergeCell ref="H11:I11"/>
    <mergeCell ref="J11:K11"/>
    <mergeCell ref="B12:C12"/>
    <mergeCell ref="J12:K12"/>
    <mergeCell ref="I17:J17"/>
    <mergeCell ref="K17:L17"/>
    <mergeCell ref="I18:J18"/>
    <mergeCell ref="K18:L18"/>
    <mergeCell ref="I19:J19"/>
    <mergeCell ref="K19:L19"/>
    <mergeCell ref="B25:C25"/>
    <mergeCell ref="D25:E25"/>
    <mergeCell ref="F25:G25"/>
  </mergeCells>
  <dataValidations>
    <dataValidation type="list" allowBlank="1" showErrorMessage="1" sqref="D4">
      <formula1>"Enero,Febrero,Marzo,Abril,Mayo,Junio,Julio,Agosto,Septiembre,Octubre,Noviembre,Diciembre"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25"/>
    <col customWidth="1" min="2" max="2" width="20.75"/>
    <col customWidth="1" min="3" max="17" width="12.0"/>
  </cols>
  <sheetData>
    <row r="1" ht="37.5" customHeight="1">
      <c r="B1" s="38" t="s">
        <v>35</v>
      </c>
    </row>
    <row r="3" ht="24.0" customHeight="1">
      <c r="B3" s="39" t="s">
        <v>36</v>
      </c>
      <c r="C3" s="40" t="s">
        <v>37</v>
      </c>
      <c r="D3" s="40" t="s">
        <v>38</v>
      </c>
      <c r="E3" s="40" t="s">
        <v>39</v>
      </c>
      <c r="F3" s="40" t="s">
        <v>40</v>
      </c>
      <c r="G3" s="40" t="s">
        <v>41</v>
      </c>
      <c r="H3" s="40" t="s">
        <v>42</v>
      </c>
      <c r="I3" s="40" t="s">
        <v>43</v>
      </c>
      <c r="J3" s="40" t="s">
        <v>44</v>
      </c>
      <c r="K3" s="40" t="s">
        <v>45</v>
      </c>
      <c r="L3" s="40" t="s">
        <v>46</v>
      </c>
      <c r="M3" s="40" t="s">
        <v>47</v>
      </c>
      <c r="N3" s="40" t="s">
        <v>48</v>
      </c>
      <c r="O3" s="5" t="s">
        <v>49</v>
      </c>
      <c r="P3" s="40" t="s">
        <v>50</v>
      </c>
      <c r="Q3" s="40" t="s">
        <v>51</v>
      </c>
    </row>
    <row r="4">
      <c r="B4" s="41" t="s">
        <v>52</v>
      </c>
      <c r="C4" s="16" t="str">
        <f>IFERROR('Enero'!C3,0)</f>
        <v>#ERROR!</v>
      </c>
      <c r="D4" s="16" t="str">
        <f>IFERROR('Febrero'!C3,0)</f>
        <v>#ERROR!</v>
      </c>
      <c r="E4" s="16" t="str">
        <f>IFERROR('Marzo'!C3,0)</f>
        <v>#ERROR!</v>
      </c>
      <c r="F4" s="16" t="str">
        <f>IFERROR('Abril'!C3,0)</f>
        <v>#ERROR!</v>
      </c>
      <c r="G4" s="16" t="str">
        <f>IFERROR('Mayo'!C3,0)</f>
        <v>#ERROR!</v>
      </c>
      <c r="H4" s="16" t="str">
        <f>IFERROR('Junio'!C3,0)</f>
        <v>#ERROR!</v>
      </c>
      <c r="I4" s="16" t="str">
        <f>IFERROR('Julio'!C3,0)</f>
        <v>#ERROR!</v>
      </c>
      <c r="J4" s="16" t="str">
        <f>IFERROR('Agosto'!C3,0)</f>
        <v>#ERROR!</v>
      </c>
      <c r="K4" s="16" t="str">
        <f>IFERROR('Septiembre'!C3,0)</f>
        <v>#ERROR!</v>
      </c>
      <c r="L4" s="16" t="str">
        <f>IFERROR('Octubre'!C3,0)</f>
        <v>#ERROR!</v>
      </c>
      <c r="M4" s="16" t="str">
        <f>IFERROR('Noviembre'!C3,0)</f>
        <v>#ERROR!</v>
      </c>
      <c r="N4" s="16" t="str">
        <f>IFERROR('Diciembre'!C3,0)</f>
        <v>#ERROR!</v>
      </c>
      <c r="O4" s="42" t="str">
        <f t="shared" ref="O4:O9" si="1">SUM(C4:N4)</f>
        <v>#ERROR!</v>
      </c>
      <c r="P4" s="16" t="str">
        <f t="shared" ref="P4:P9" si="2">AVERAGE(C4:N4)</f>
        <v>#ERROR!</v>
      </c>
      <c r="Q4" s="16" t="str">
        <f t="shared" ref="Q4:Q9" si="3">MAX(C4:N4)</f>
        <v>#ERROR!</v>
      </c>
    </row>
    <row r="5">
      <c r="B5" s="41" t="s">
        <v>53</v>
      </c>
      <c r="C5" s="16" t="str">
        <f>IFERROR('Enero'!D3,0)</f>
        <v>#ERROR!</v>
      </c>
      <c r="D5" s="16" t="str">
        <f>IFERROR('Febrero'!D3,0)</f>
        <v>#ERROR!</v>
      </c>
      <c r="E5" s="16" t="str">
        <f>IFERROR('Marzo'!D3,0)</f>
        <v>#ERROR!</v>
      </c>
      <c r="F5" s="16" t="str">
        <f>IFERROR('Abril'!D3,0)</f>
        <v>#ERROR!</v>
      </c>
      <c r="G5" s="16" t="str">
        <f>IFERROR('Mayo'!D3,0)</f>
        <v>#ERROR!</v>
      </c>
      <c r="H5" s="16" t="str">
        <f>IFERROR('Junio'!D3,0)</f>
        <v>#ERROR!</v>
      </c>
      <c r="I5" s="16" t="str">
        <f>IFERROR('Julio'!D3,0)</f>
        <v>#ERROR!</v>
      </c>
      <c r="J5" s="16" t="str">
        <f>IFERROR('Agosto'!D3,0)</f>
        <v>#ERROR!</v>
      </c>
      <c r="K5" s="16" t="str">
        <f>IFERROR('Septiembre'!D3,0)</f>
        <v>#ERROR!</v>
      </c>
      <c r="L5" s="16" t="str">
        <f>IFERROR('Octubre'!D3,0)</f>
        <v>#ERROR!</v>
      </c>
      <c r="M5" s="16" t="str">
        <f>IFERROR('Noviembre'!D3,0)</f>
        <v>#ERROR!</v>
      </c>
      <c r="N5" s="16" t="str">
        <f>IFERROR('Diciembre'!D3,0)</f>
        <v>#ERROR!</v>
      </c>
      <c r="O5" s="42" t="str">
        <f t="shared" si="1"/>
        <v>#ERROR!</v>
      </c>
      <c r="P5" s="16" t="str">
        <f t="shared" si="2"/>
        <v>#ERROR!</v>
      </c>
      <c r="Q5" s="16" t="str">
        <f t="shared" si="3"/>
        <v>#ERROR!</v>
      </c>
    </row>
    <row r="6">
      <c r="B6" s="43" t="s">
        <v>54</v>
      </c>
      <c r="C6" s="44" t="str">
        <f>IFERROR('Enero'!E3,0)</f>
        <v>#ERROR!</v>
      </c>
      <c r="D6" s="44" t="str">
        <f>IFERROR('Febrero'!E3,0)</f>
        <v>#ERROR!</v>
      </c>
      <c r="E6" s="44" t="str">
        <f>IFERROR('Marzo'!E3,0)</f>
        <v>#ERROR!</v>
      </c>
      <c r="F6" s="44" t="str">
        <f>IFERROR('Abril'!E3,0)</f>
        <v>#ERROR!</v>
      </c>
      <c r="G6" s="44" t="str">
        <f>IFERROR('Mayo'!E3,0)</f>
        <v>#ERROR!</v>
      </c>
      <c r="H6" s="44" t="str">
        <f>IFERROR('Junio'!E3,0)</f>
        <v>#ERROR!</v>
      </c>
      <c r="I6" s="44" t="str">
        <f>IFERROR('Julio'!E3,0)</f>
        <v>#ERROR!</v>
      </c>
      <c r="J6" s="44" t="str">
        <f>IFERROR('Agosto'!E3,0)</f>
        <v>#ERROR!</v>
      </c>
      <c r="K6" s="44" t="str">
        <f>IFERROR('Septiembre'!E3,0)</f>
        <v>#ERROR!</v>
      </c>
      <c r="L6" s="44" t="str">
        <f>IFERROR('Octubre'!E3,0)</f>
        <v>#ERROR!</v>
      </c>
      <c r="M6" s="44" t="str">
        <f>IFERROR('Noviembre'!E3,0)</f>
        <v>#ERROR!</v>
      </c>
      <c r="N6" s="44" t="str">
        <f>IFERROR('Diciembre'!E3,0)</f>
        <v>#ERROR!</v>
      </c>
      <c r="O6" s="44" t="str">
        <f t="shared" si="1"/>
        <v>#ERROR!</v>
      </c>
      <c r="P6" s="45" t="str">
        <f t="shared" si="2"/>
        <v>#ERROR!</v>
      </c>
      <c r="Q6" s="45" t="str">
        <f t="shared" si="3"/>
        <v>#ERROR!</v>
      </c>
    </row>
    <row r="7">
      <c r="B7" s="46" t="s">
        <v>55</v>
      </c>
      <c r="C7" s="47" t="str">
        <f>IFERROR(SUM('Enero'!F6:F55),0)</f>
        <v>#ERROR!</v>
      </c>
      <c r="D7" s="47" t="str">
        <f>IFERROR(SUM('Febrero'!F6:F55),0)</f>
        <v>#ERROR!</v>
      </c>
      <c r="E7" s="47" t="str">
        <f>IFERROR(SUM('Marzo'!F6:F55),0)</f>
        <v>#ERROR!</v>
      </c>
      <c r="F7" s="47" t="str">
        <f>IFERROR(SUM('Abril'!F6:F55),0)</f>
        <v>#ERROR!</v>
      </c>
      <c r="G7" s="47" t="str">
        <f>IFERROR(SUM('Mayo'!F6:F55),0)</f>
        <v>#ERROR!</v>
      </c>
      <c r="H7" s="47" t="str">
        <f>IFERROR(SUM('Junio'!F6:F55),0)</f>
        <v>#ERROR!</v>
      </c>
      <c r="I7" s="47" t="str">
        <f>IFERROR(SUM('Julio'!F6:F55),0)</f>
        <v>#ERROR!</v>
      </c>
      <c r="J7" s="47" t="str">
        <f>IFERROR(SUM('Agosto'!F6:F55),0)</f>
        <v>#ERROR!</v>
      </c>
      <c r="K7" s="47" t="str">
        <f>IFERROR(SUM('Septiembre'!F6:F55),0)</f>
        <v>#ERROR!</v>
      </c>
      <c r="L7" s="47" t="str">
        <f>IFERROR(SUM('Octubre'!F6:F55),0)</f>
        <v>#ERROR!</v>
      </c>
      <c r="M7" s="47" t="str">
        <f>IFERROR(SUM('Noviembre'!F6:F55),0)</f>
        <v>#ERROR!</v>
      </c>
      <c r="N7" s="47" t="str">
        <f>IFERROR(SUM('Diciembre'!F6:F55),0)</f>
        <v>#ERROR!</v>
      </c>
      <c r="O7" s="47" t="str">
        <f t="shared" si="1"/>
        <v>#ERROR!</v>
      </c>
      <c r="P7" s="48" t="str">
        <f t="shared" si="2"/>
        <v>#ERROR!</v>
      </c>
      <c r="Q7" s="48" t="str">
        <f t="shared" si="3"/>
        <v>#ERROR!</v>
      </c>
    </row>
    <row r="8">
      <c r="B8" s="49" t="s">
        <v>5</v>
      </c>
      <c r="C8" s="50" t="str">
        <f>IFERROR('Enero'!E3-SUM('Enero'!F6:F55),0)</f>
        <v>#ERROR!</v>
      </c>
      <c r="D8" s="50" t="str">
        <f>IFERROR('Febrero'!E3-SUM('Febrero'!F6:F55),0)</f>
        <v>#ERROR!</v>
      </c>
      <c r="E8" s="50" t="str">
        <f>IFERROR('Marzo'!E3-SUM('Marzo'!F6:F55),0)</f>
        <v>#ERROR!</v>
      </c>
      <c r="F8" s="50" t="str">
        <f>IFERROR('Abril'!E3-SUM('Abril'!F6:F55),0)</f>
        <v>#ERROR!</v>
      </c>
      <c r="G8" s="50" t="str">
        <f>IFERROR('Mayo'!E3-SUM('Mayo'!F6:F55),0)</f>
        <v>#ERROR!</v>
      </c>
      <c r="H8" s="50" t="str">
        <f>IFERROR('Junio'!E3-SUM('Junio'!F6:F55),0)</f>
        <v>#ERROR!</v>
      </c>
      <c r="I8" s="50" t="str">
        <f>IFERROR('Julio'!E3-SUM('Julio'!F6:F55),0)</f>
        <v>#ERROR!</v>
      </c>
      <c r="J8" s="50" t="str">
        <f>IFERROR('Agosto'!E3-SUM('Agosto'!F6:F55),0)</f>
        <v>#ERROR!</v>
      </c>
      <c r="K8" s="50" t="str">
        <f>IFERROR('Septiembre'!E3-SUM('Septiembre'!F6:F55),0)</f>
        <v>#ERROR!</v>
      </c>
      <c r="L8" s="50" t="str">
        <f>IFERROR('Octubre'!E3-SUM('Octubre'!F6:F55),0)</f>
        <v>#ERROR!</v>
      </c>
      <c r="M8" s="50" t="str">
        <f>IFERROR('Noviembre'!E3-SUM('Noviembre'!F6:F55),0)</f>
        <v>#ERROR!</v>
      </c>
      <c r="N8" s="50" t="str">
        <f>IFERROR('Diciembre'!E3-SUM('Diciembre'!F6:F55),0)</f>
        <v>#ERROR!</v>
      </c>
      <c r="O8" s="50" t="str">
        <f t="shared" si="1"/>
        <v>#ERROR!</v>
      </c>
      <c r="P8" s="51" t="str">
        <f t="shared" si="2"/>
        <v>#ERROR!</v>
      </c>
      <c r="Q8" s="51" t="str">
        <f t="shared" si="3"/>
        <v>#ERROR!</v>
      </c>
    </row>
    <row r="9">
      <c r="B9" s="52" t="s">
        <v>56</v>
      </c>
      <c r="C9" s="53" t="str">
        <f>IFERROR(MAX('Enero'!E3-SUM('Enero'!F6:F55),0),0)</f>
        <v>#ERROR!</v>
      </c>
      <c r="D9" s="53" t="str">
        <f>IFERROR(MAX('Febrero'!E3-SUM('Febrero'!F6:F55),0),0)</f>
        <v>#ERROR!</v>
      </c>
      <c r="E9" s="53" t="str">
        <f>IFERROR(MAX('Marzo'!E3-SUM('Marzo'!F6:F55),0),0)</f>
        <v>#ERROR!</v>
      </c>
      <c r="F9" s="53" t="str">
        <f>IFERROR(MAX('Abril'!E3-SUM('Abril'!F6:F55),0),0)</f>
        <v>#ERROR!</v>
      </c>
      <c r="G9" s="53" t="str">
        <f>IFERROR(MAX('Mayo'!E3-SUM('Mayo'!F6:F55),0),0)</f>
        <v>#ERROR!</v>
      </c>
      <c r="H9" s="53" t="str">
        <f>IFERROR(MAX('Junio'!E3-SUM('Junio'!F6:F55),0),0)</f>
        <v>#ERROR!</v>
      </c>
      <c r="I9" s="53" t="str">
        <f>IFERROR(MAX('Julio'!E3-SUM('Julio'!F6:F55),0),0)</f>
        <v>#ERROR!</v>
      </c>
      <c r="J9" s="53" t="str">
        <f>IFERROR(MAX('Agosto'!E3-SUM('Agosto'!F6:F55),0),0)</f>
        <v>#ERROR!</v>
      </c>
      <c r="K9" s="53" t="str">
        <f>IFERROR(MAX('Septiembre'!E3-SUM('Septiembre'!F6:F55),0),0)</f>
        <v>#ERROR!</v>
      </c>
      <c r="L9" s="53" t="str">
        <f>IFERROR(MAX('Octubre'!E3-SUM('Octubre'!F6:F55),0),0)</f>
        <v>#ERROR!</v>
      </c>
      <c r="M9" s="53" t="str">
        <f>IFERROR(MAX('Noviembre'!E3-SUM('Noviembre'!F6:F55),0),0)</f>
        <v>#ERROR!</v>
      </c>
      <c r="N9" s="53" t="str">
        <f>IFERROR(MAX('Diciembre'!E3-SUM('Diciembre'!F6:F55),0),0)</f>
        <v>#ERROR!</v>
      </c>
      <c r="O9" s="53" t="str">
        <f t="shared" si="1"/>
        <v>#ERROR!</v>
      </c>
      <c r="P9" s="54" t="str">
        <f t="shared" si="2"/>
        <v>#ERROR!</v>
      </c>
      <c r="Q9" s="54" t="str">
        <f t="shared" si="3"/>
        <v>#ERROR!</v>
      </c>
    </row>
    <row r="10" ht="11.25" customHeight="1"/>
    <row r="11" ht="24.0" customHeight="1">
      <c r="B11" s="20" t="s">
        <v>57</v>
      </c>
    </row>
    <row r="12">
      <c r="B12" s="55" t="s">
        <v>21</v>
      </c>
      <c r="C12" s="56" t="str">
        <f>IFERROR(SUMIF('Enero'!E6:E55,"Alimentación",'Enero'!F6:F55),0)</f>
        <v>#ERROR!</v>
      </c>
      <c r="D12" s="56" t="str">
        <f>IFERROR(SUMIF('Febrero'!E6:E55,"Alimentación",'Febrero'!F6:F55),0)</f>
        <v>#ERROR!</v>
      </c>
      <c r="E12" s="56" t="str">
        <f>IFERROR(SUMIF('Marzo'!E6:E55,"Alimentación",'Marzo'!F6:F55),0)</f>
        <v>#ERROR!</v>
      </c>
      <c r="F12" s="56" t="str">
        <f>IFERROR(SUMIF('Abril'!E6:E55,"Alimentación",'Abril'!F6:F55),0)</f>
        <v>#ERROR!</v>
      </c>
      <c r="G12" s="56" t="str">
        <f>IFERROR(SUMIF('Mayo'!E6:E55,"Alimentación",'Mayo'!F6:F55),0)</f>
        <v>#ERROR!</v>
      </c>
      <c r="H12" s="56" t="str">
        <f>IFERROR(SUMIF('Junio'!E6:E55,"Alimentación",'Junio'!F6:F55),0)</f>
        <v>#ERROR!</v>
      </c>
      <c r="I12" s="56" t="str">
        <f>IFERROR(SUMIF('Julio'!E6:E55,"Alimentación",'Julio'!F6:F55),0)</f>
        <v>#ERROR!</v>
      </c>
      <c r="J12" s="56" t="str">
        <f>IFERROR(SUMIF('Agosto'!E6:E55,"Alimentación",'Agosto'!F6:F55),0)</f>
        <v>#ERROR!</v>
      </c>
      <c r="K12" s="56" t="str">
        <f>IFERROR(SUMIF('Septiembre'!E6:E55,"Alimentación",'Septiembre'!F6:F55),0)</f>
        <v>#ERROR!</v>
      </c>
      <c r="L12" s="56" t="str">
        <f>IFERROR(SUMIF('Octubre'!E6:E55,"Alimentación",'Octubre'!F6:F55),0)</f>
        <v>#ERROR!</v>
      </c>
      <c r="M12" s="56" t="str">
        <f>IFERROR(SUMIF('Noviembre'!E6:E55,"Alimentación",'Noviembre'!F6:F55),0)</f>
        <v>#ERROR!</v>
      </c>
      <c r="N12" s="56" t="str">
        <f>IFERROR(SUMIF('Diciembre'!E6:E55,"Alimentación",'Diciembre'!F6:F55),0)</f>
        <v>#ERROR!</v>
      </c>
      <c r="O12" s="57" t="str">
        <f t="shared" ref="O12:O21" si="4">SUM(C12:N12)</f>
        <v>#ERROR!</v>
      </c>
      <c r="P12" s="56" t="str">
        <f t="shared" ref="P12:P21" si="5">AVERAGE(C12:N12)</f>
        <v>#ERROR!</v>
      </c>
      <c r="Q12" s="56" t="str">
        <f t="shared" ref="Q12:Q21" si="6">MAX(C12:N12)</f>
        <v>#ERROR!</v>
      </c>
    </row>
    <row r="13">
      <c r="B13" s="58" t="s">
        <v>23</v>
      </c>
      <c r="C13" s="59" t="str">
        <f>IFERROR(SUMIF('Enero'!E6:E55,"Transporte",'Enero'!F6:F55),0)</f>
        <v>#ERROR!</v>
      </c>
      <c r="D13" s="59" t="str">
        <f>IFERROR(SUMIF('Febrero'!E6:E55,"Transporte",'Febrero'!F6:F55),0)</f>
        <v>#ERROR!</v>
      </c>
      <c r="E13" s="59" t="str">
        <f>IFERROR(SUMIF('Marzo'!E6:E55,"Transporte",'Marzo'!F6:F55),0)</f>
        <v>#ERROR!</v>
      </c>
      <c r="F13" s="59" t="str">
        <f>IFERROR(SUMIF('Abril'!E6:E55,"Transporte",'Abril'!F6:F55),0)</f>
        <v>#ERROR!</v>
      </c>
      <c r="G13" s="59" t="str">
        <f>IFERROR(SUMIF('Mayo'!E6:E55,"Transporte",'Mayo'!F6:F55),0)</f>
        <v>#ERROR!</v>
      </c>
      <c r="H13" s="59" t="str">
        <f>IFERROR(SUMIF('Junio'!E6:E55,"Transporte",'Junio'!F6:F55),0)</f>
        <v>#ERROR!</v>
      </c>
      <c r="I13" s="59" t="str">
        <f>IFERROR(SUMIF('Julio'!E6:E55,"Transporte",'Julio'!F6:F55),0)</f>
        <v>#ERROR!</v>
      </c>
      <c r="J13" s="59" t="str">
        <f>IFERROR(SUMIF('Agosto'!E6:E55,"Transporte",'Agosto'!F6:F55),0)</f>
        <v>#ERROR!</v>
      </c>
      <c r="K13" s="59" t="str">
        <f>IFERROR(SUMIF('Septiembre'!E6:E55,"Transporte",'Septiembre'!F6:F55),0)</f>
        <v>#ERROR!</v>
      </c>
      <c r="L13" s="59" t="str">
        <f>IFERROR(SUMIF('Octubre'!E6:E55,"Transporte",'Octubre'!F6:F55),0)</f>
        <v>#ERROR!</v>
      </c>
      <c r="M13" s="59" t="str">
        <f>IFERROR(SUMIF('Noviembre'!E6:E55,"Transporte",'Noviembre'!F6:F55),0)</f>
        <v>#ERROR!</v>
      </c>
      <c r="N13" s="59" t="str">
        <f>IFERROR(SUMIF('Diciembre'!E6:E55,"Transporte",'Diciembre'!F6:F55),0)</f>
        <v>#ERROR!</v>
      </c>
      <c r="O13" s="60" t="str">
        <f t="shared" si="4"/>
        <v>#ERROR!</v>
      </c>
      <c r="P13" s="59" t="str">
        <f t="shared" si="5"/>
        <v>#ERROR!</v>
      </c>
      <c r="Q13" s="59" t="str">
        <f t="shared" si="6"/>
        <v>#ERROR!</v>
      </c>
    </row>
    <row r="14">
      <c r="B14" s="55" t="s">
        <v>25</v>
      </c>
      <c r="C14" s="56" t="str">
        <f>IFERROR(SUMIF('Enero'!E6:E55,"Vivienda",'Enero'!F6:F55),0)</f>
        <v>#ERROR!</v>
      </c>
      <c r="D14" s="56" t="str">
        <f>IFERROR(SUMIF('Febrero'!E6:E55,"Vivienda",'Febrero'!F6:F55),0)</f>
        <v>#ERROR!</v>
      </c>
      <c r="E14" s="56" t="str">
        <f>IFERROR(SUMIF('Marzo'!E6:E55,"Vivienda",'Marzo'!F6:F55),0)</f>
        <v>#ERROR!</v>
      </c>
      <c r="F14" s="56" t="str">
        <f>IFERROR(SUMIF('Abril'!E6:E55,"Vivienda",'Abril'!F6:F55),0)</f>
        <v>#ERROR!</v>
      </c>
      <c r="G14" s="56" t="str">
        <f>IFERROR(SUMIF('Mayo'!E6:E55,"Vivienda",'Mayo'!F6:F55),0)</f>
        <v>#ERROR!</v>
      </c>
      <c r="H14" s="56" t="str">
        <f>IFERROR(SUMIF('Junio'!E6:E55,"Vivienda",'Junio'!F6:F55),0)</f>
        <v>#ERROR!</v>
      </c>
      <c r="I14" s="56" t="str">
        <f>IFERROR(SUMIF('Julio'!E6:E55,"Vivienda",'Julio'!F6:F55),0)</f>
        <v>#ERROR!</v>
      </c>
      <c r="J14" s="56" t="str">
        <f>IFERROR(SUMIF('Agosto'!E6:E55,"Vivienda",'Agosto'!F6:F55),0)</f>
        <v>#ERROR!</v>
      </c>
      <c r="K14" s="56" t="str">
        <f>IFERROR(SUMIF('Septiembre'!E6:E55,"Vivienda",'Septiembre'!F6:F55),0)</f>
        <v>#ERROR!</v>
      </c>
      <c r="L14" s="56" t="str">
        <f>IFERROR(SUMIF('Octubre'!E6:E55,"Vivienda",'Octubre'!F6:F55),0)</f>
        <v>#ERROR!</v>
      </c>
      <c r="M14" s="56" t="str">
        <f>IFERROR(SUMIF('Noviembre'!E6:E55,"Vivienda",'Noviembre'!F6:F55),0)</f>
        <v>#ERROR!</v>
      </c>
      <c r="N14" s="56" t="str">
        <f>IFERROR(SUMIF('Diciembre'!E6:E55,"Vivienda",'Diciembre'!F6:F55),0)</f>
        <v>#ERROR!</v>
      </c>
      <c r="O14" s="57" t="str">
        <f t="shared" si="4"/>
        <v>#ERROR!</v>
      </c>
      <c r="P14" s="56" t="str">
        <f t="shared" si="5"/>
        <v>#ERROR!</v>
      </c>
      <c r="Q14" s="56" t="str">
        <f t="shared" si="6"/>
        <v>#ERROR!</v>
      </c>
    </row>
    <row r="15">
      <c r="B15" s="58" t="s">
        <v>27</v>
      </c>
      <c r="C15" s="59" t="str">
        <f>IFERROR(SUMIF('Enero'!E6:E55,"Salud",'Enero'!F6:F55),0)</f>
        <v>#ERROR!</v>
      </c>
      <c r="D15" s="59" t="str">
        <f>IFERROR(SUMIF('Febrero'!E6:E55,"Salud",'Febrero'!F6:F55),0)</f>
        <v>#ERROR!</v>
      </c>
      <c r="E15" s="59" t="str">
        <f>IFERROR(SUMIF('Marzo'!E6:E55,"Salud",'Marzo'!F6:F55),0)</f>
        <v>#ERROR!</v>
      </c>
      <c r="F15" s="59" t="str">
        <f>IFERROR(SUMIF('Abril'!E6:E55,"Salud",'Abril'!F6:F55),0)</f>
        <v>#ERROR!</v>
      </c>
      <c r="G15" s="59" t="str">
        <f>IFERROR(SUMIF('Mayo'!E6:E55,"Salud",'Mayo'!F6:F55),0)</f>
        <v>#ERROR!</v>
      </c>
      <c r="H15" s="59" t="str">
        <f>IFERROR(SUMIF('Junio'!E6:E55,"Salud",'Junio'!F6:F55),0)</f>
        <v>#ERROR!</v>
      </c>
      <c r="I15" s="59" t="str">
        <f>IFERROR(SUMIF('Julio'!E6:E55,"Salud",'Julio'!F6:F55),0)</f>
        <v>#ERROR!</v>
      </c>
      <c r="J15" s="59" t="str">
        <f>IFERROR(SUMIF('Agosto'!E6:E55,"Salud",'Agosto'!F6:F55),0)</f>
        <v>#ERROR!</v>
      </c>
      <c r="K15" s="59" t="str">
        <f>IFERROR(SUMIF('Septiembre'!E6:E55,"Salud",'Septiembre'!F6:F55),0)</f>
        <v>#ERROR!</v>
      </c>
      <c r="L15" s="59" t="str">
        <f>IFERROR(SUMIF('Octubre'!E6:E55,"Salud",'Octubre'!F6:F55),0)</f>
        <v>#ERROR!</v>
      </c>
      <c r="M15" s="59" t="str">
        <f>IFERROR(SUMIF('Noviembre'!E6:E55,"Salud",'Noviembre'!F6:F55),0)</f>
        <v>#ERROR!</v>
      </c>
      <c r="N15" s="59" t="str">
        <f>IFERROR(SUMIF('Diciembre'!E6:E55,"Salud",'Diciembre'!F6:F55),0)</f>
        <v>#ERROR!</v>
      </c>
      <c r="O15" s="60" t="str">
        <f t="shared" si="4"/>
        <v>#ERROR!</v>
      </c>
      <c r="P15" s="59" t="str">
        <f t="shared" si="5"/>
        <v>#ERROR!</v>
      </c>
      <c r="Q15" s="59" t="str">
        <f t="shared" si="6"/>
        <v>#ERROR!</v>
      </c>
    </row>
    <row r="16">
      <c r="B16" s="55" t="s">
        <v>29</v>
      </c>
      <c r="C16" s="56" t="str">
        <f>IFERROR(SUMIF('Enero'!E6:E55,"Educación",'Enero'!F6:F55),0)</f>
        <v>#ERROR!</v>
      </c>
      <c r="D16" s="56" t="str">
        <f>IFERROR(SUMIF('Febrero'!E6:E55,"Educación",'Febrero'!F6:F55),0)</f>
        <v>#ERROR!</v>
      </c>
      <c r="E16" s="56" t="str">
        <f>IFERROR(SUMIF('Marzo'!E6:E55,"Educación",'Marzo'!F6:F55),0)</f>
        <v>#ERROR!</v>
      </c>
      <c r="F16" s="56" t="str">
        <f>IFERROR(SUMIF('Abril'!E6:E55,"Educación",'Abril'!F6:F55),0)</f>
        <v>#ERROR!</v>
      </c>
      <c r="G16" s="56" t="str">
        <f>IFERROR(SUMIF('Mayo'!E6:E55,"Educación",'Mayo'!F6:F55),0)</f>
        <v>#ERROR!</v>
      </c>
      <c r="H16" s="56" t="str">
        <f>IFERROR(SUMIF('Junio'!E6:E55,"Educación",'Junio'!F6:F55),0)</f>
        <v>#ERROR!</v>
      </c>
      <c r="I16" s="56" t="str">
        <f>IFERROR(SUMIF('Julio'!E6:E55,"Educación",'Julio'!F6:F55),0)</f>
        <v>#ERROR!</v>
      </c>
      <c r="J16" s="56" t="str">
        <f>IFERROR(SUMIF('Agosto'!E6:E55,"Educación",'Agosto'!F6:F55),0)</f>
        <v>#ERROR!</v>
      </c>
      <c r="K16" s="56" t="str">
        <f>IFERROR(SUMIF('Septiembre'!E6:E55,"Educación",'Septiembre'!F6:F55),0)</f>
        <v>#ERROR!</v>
      </c>
      <c r="L16" s="56" t="str">
        <f>IFERROR(SUMIF('Octubre'!E6:E55,"Educación",'Octubre'!F6:F55),0)</f>
        <v>#ERROR!</v>
      </c>
      <c r="M16" s="56" t="str">
        <f>IFERROR(SUMIF('Noviembre'!E6:E55,"Educación",'Noviembre'!F6:F55),0)</f>
        <v>#ERROR!</v>
      </c>
      <c r="N16" s="56" t="str">
        <f>IFERROR(SUMIF('Diciembre'!E6:E55,"Educación",'Diciembre'!F6:F55),0)</f>
        <v>#ERROR!</v>
      </c>
      <c r="O16" s="57" t="str">
        <f t="shared" si="4"/>
        <v>#ERROR!</v>
      </c>
      <c r="P16" s="56" t="str">
        <f t="shared" si="5"/>
        <v>#ERROR!</v>
      </c>
      <c r="Q16" s="56" t="str">
        <f t="shared" si="6"/>
        <v>#ERROR!</v>
      </c>
    </row>
    <row r="17">
      <c r="B17" s="58" t="s">
        <v>30</v>
      </c>
      <c r="C17" s="59" t="str">
        <f>IFERROR(SUMIF('Enero'!E6:E55,"Entretenimiento",'Enero'!F6:F55),0)</f>
        <v>#ERROR!</v>
      </c>
      <c r="D17" s="59" t="str">
        <f>IFERROR(SUMIF('Febrero'!E6:E55,"Entretenimiento",'Febrero'!F6:F55),0)</f>
        <v>#ERROR!</v>
      </c>
      <c r="E17" s="59" t="str">
        <f>IFERROR(SUMIF('Marzo'!E6:E55,"Entretenimiento",'Marzo'!F6:F55),0)</f>
        <v>#ERROR!</v>
      </c>
      <c r="F17" s="59" t="str">
        <f>IFERROR(SUMIF('Abril'!E6:E55,"Entretenimiento",'Abril'!F6:F55),0)</f>
        <v>#ERROR!</v>
      </c>
      <c r="G17" s="59" t="str">
        <f>IFERROR(SUMIF('Mayo'!E6:E55,"Entretenimiento",'Mayo'!F6:F55),0)</f>
        <v>#ERROR!</v>
      </c>
      <c r="H17" s="59" t="str">
        <f>IFERROR(SUMIF('Junio'!E6:E55,"Entretenimiento",'Junio'!F6:F55),0)</f>
        <v>#ERROR!</v>
      </c>
      <c r="I17" s="59" t="str">
        <f>IFERROR(SUMIF('Julio'!E6:E55,"Entretenimiento",'Julio'!F6:F55),0)</f>
        <v>#ERROR!</v>
      </c>
      <c r="J17" s="59" t="str">
        <f>IFERROR(SUMIF('Agosto'!E6:E55,"Entretenimiento",'Agosto'!F6:F55),0)</f>
        <v>#ERROR!</v>
      </c>
      <c r="K17" s="59" t="str">
        <f>IFERROR(SUMIF('Septiembre'!E6:E55,"Entretenimiento",'Septiembre'!F6:F55),0)</f>
        <v>#ERROR!</v>
      </c>
      <c r="L17" s="59" t="str">
        <f>IFERROR(SUMIF('Octubre'!E6:E55,"Entretenimiento",'Octubre'!F6:F55),0)</f>
        <v>#ERROR!</v>
      </c>
      <c r="M17" s="59" t="str">
        <f>IFERROR(SUMIF('Noviembre'!E6:E55,"Entretenimiento",'Noviembre'!F6:F55),0)</f>
        <v>#ERROR!</v>
      </c>
      <c r="N17" s="59" t="str">
        <f>IFERROR(SUMIF('Diciembre'!E6:E55,"Entretenimiento",'Diciembre'!F6:F55),0)</f>
        <v>#ERROR!</v>
      </c>
      <c r="O17" s="60" t="str">
        <f t="shared" si="4"/>
        <v>#ERROR!</v>
      </c>
      <c r="P17" s="59" t="str">
        <f t="shared" si="5"/>
        <v>#ERROR!</v>
      </c>
      <c r="Q17" s="59" t="str">
        <f t="shared" si="6"/>
        <v>#ERROR!</v>
      </c>
    </row>
    <row r="18">
      <c r="B18" s="55" t="s">
        <v>31</v>
      </c>
      <c r="C18" s="56" t="str">
        <f>IFERROR(SUMIF('Enero'!E6:E55,"Ropa",'Enero'!F6:F55),0)</f>
        <v>#ERROR!</v>
      </c>
      <c r="D18" s="56" t="str">
        <f>IFERROR(SUMIF('Febrero'!E6:E55,"Ropa",'Febrero'!F6:F55),0)</f>
        <v>#ERROR!</v>
      </c>
      <c r="E18" s="56" t="str">
        <f>IFERROR(SUMIF('Marzo'!E6:E55,"Ropa",'Marzo'!F6:F55),0)</f>
        <v>#ERROR!</v>
      </c>
      <c r="F18" s="56" t="str">
        <f>IFERROR(SUMIF('Abril'!E6:E55,"Ropa",'Abril'!F6:F55),0)</f>
        <v>#ERROR!</v>
      </c>
      <c r="G18" s="56" t="str">
        <f>IFERROR(SUMIF('Mayo'!E6:E55,"Ropa",'Mayo'!F6:F55),0)</f>
        <v>#ERROR!</v>
      </c>
      <c r="H18" s="56" t="str">
        <f>IFERROR(SUMIF('Junio'!E6:E55,"Ropa",'Junio'!F6:F55),0)</f>
        <v>#ERROR!</v>
      </c>
      <c r="I18" s="56" t="str">
        <f>IFERROR(SUMIF('Julio'!E6:E55,"Ropa",'Julio'!F6:F55),0)</f>
        <v>#ERROR!</v>
      </c>
      <c r="J18" s="56" t="str">
        <f>IFERROR(SUMIF('Agosto'!E6:E55,"Ropa",'Agosto'!F6:F55),0)</f>
        <v>#ERROR!</v>
      </c>
      <c r="K18" s="56" t="str">
        <f>IFERROR(SUMIF('Septiembre'!E6:E55,"Ropa",'Septiembre'!F6:F55),0)</f>
        <v>#ERROR!</v>
      </c>
      <c r="L18" s="56" t="str">
        <f>IFERROR(SUMIF('Octubre'!E6:E55,"Ropa",'Octubre'!F6:F55),0)</f>
        <v>#ERROR!</v>
      </c>
      <c r="M18" s="56" t="str">
        <f>IFERROR(SUMIF('Noviembre'!E6:E55,"Ropa",'Noviembre'!F6:F55),0)</f>
        <v>#ERROR!</v>
      </c>
      <c r="N18" s="56" t="str">
        <f>IFERROR(SUMIF('Diciembre'!E6:E55,"Ropa",'Diciembre'!F6:F55),0)</f>
        <v>#ERROR!</v>
      </c>
      <c r="O18" s="57" t="str">
        <f t="shared" si="4"/>
        <v>#ERROR!</v>
      </c>
      <c r="P18" s="56" t="str">
        <f t="shared" si="5"/>
        <v>#ERROR!</v>
      </c>
      <c r="Q18" s="56" t="str">
        <f t="shared" si="6"/>
        <v>#ERROR!</v>
      </c>
    </row>
    <row r="19">
      <c r="B19" s="58" t="s">
        <v>32</v>
      </c>
      <c r="C19" s="59" t="str">
        <f>IFERROR(SUMIF('Enero'!E6:E55,"Servicios",'Enero'!F6:F55),0)</f>
        <v>#ERROR!</v>
      </c>
      <c r="D19" s="59" t="str">
        <f>IFERROR(SUMIF('Febrero'!E6:E55,"Servicios",'Febrero'!F6:F55),0)</f>
        <v>#ERROR!</v>
      </c>
      <c r="E19" s="59" t="str">
        <f>IFERROR(SUMIF('Marzo'!E6:E55,"Servicios",'Marzo'!F6:F55),0)</f>
        <v>#ERROR!</v>
      </c>
      <c r="F19" s="59" t="str">
        <f>IFERROR(SUMIF('Abril'!E6:E55,"Servicios",'Abril'!F6:F55),0)</f>
        <v>#ERROR!</v>
      </c>
      <c r="G19" s="59" t="str">
        <f>IFERROR(SUMIF('Mayo'!E6:E55,"Servicios",'Mayo'!F6:F55),0)</f>
        <v>#ERROR!</v>
      </c>
      <c r="H19" s="59" t="str">
        <f>IFERROR(SUMIF('Junio'!E6:E55,"Servicios",'Junio'!F6:F55),0)</f>
        <v>#ERROR!</v>
      </c>
      <c r="I19" s="59" t="str">
        <f>IFERROR(SUMIF('Julio'!E6:E55,"Servicios",'Julio'!F6:F55),0)</f>
        <v>#ERROR!</v>
      </c>
      <c r="J19" s="59" t="str">
        <f>IFERROR(SUMIF('Agosto'!E6:E55,"Servicios",'Agosto'!F6:F55),0)</f>
        <v>#ERROR!</v>
      </c>
      <c r="K19" s="59" t="str">
        <f>IFERROR(SUMIF('Septiembre'!E6:E55,"Servicios",'Septiembre'!F6:F55),0)</f>
        <v>#ERROR!</v>
      </c>
      <c r="L19" s="59" t="str">
        <f>IFERROR(SUMIF('Octubre'!E6:E55,"Servicios",'Octubre'!F6:F55),0)</f>
        <v>#ERROR!</v>
      </c>
      <c r="M19" s="59" t="str">
        <f>IFERROR(SUMIF('Noviembre'!E6:E55,"Servicios",'Noviembre'!F6:F55),0)</f>
        <v>#ERROR!</v>
      </c>
      <c r="N19" s="59" t="str">
        <f>IFERROR(SUMIF('Diciembre'!E6:E55,"Servicios",'Diciembre'!F6:F55),0)</f>
        <v>#ERROR!</v>
      </c>
      <c r="O19" s="60" t="str">
        <f t="shared" si="4"/>
        <v>#ERROR!</v>
      </c>
      <c r="P19" s="59" t="str">
        <f t="shared" si="5"/>
        <v>#ERROR!</v>
      </c>
      <c r="Q19" s="59" t="str">
        <f t="shared" si="6"/>
        <v>#ERROR!</v>
      </c>
    </row>
    <row r="20">
      <c r="B20" s="55" t="s">
        <v>33</v>
      </c>
      <c r="C20" s="56" t="str">
        <f>IFERROR(SUMIF('Enero'!E6:E55,"Ahorro",'Enero'!F6:F55),0)</f>
        <v>#ERROR!</v>
      </c>
      <c r="D20" s="56" t="str">
        <f>IFERROR(SUMIF('Febrero'!E6:E55,"Ahorro",'Febrero'!F6:F55),0)</f>
        <v>#ERROR!</v>
      </c>
      <c r="E20" s="56" t="str">
        <f>IFERROR(SUMIF('Marzo'!E6:E55,"Ahorro",'Marzo'!F6:F55),0)</f>
        <v>#ERROR!</v>
      </c>
      <c r="F20" s="56" t="str">
        <f>IFERROR(SUMIF('Abril'!E6:E55,"Ahorro",'Abril'!F6:F55),0)</f>
        <v>#ERROR!</v>
      </c>
      <c r="G20" s="56" t="str">
        <f>IFERROR(SUMIF('Mayo'!E6:E55,"Ahorro",'Mayo'!F6:F55),0)</f>
        <v>#ERROR!</v>
      </c>
      <c r="H20" s="56" t="str">
        <f>IFERROR(SUMIF('Junio'!E6:E55,"Ahorro",'Junio'!F6:F55),0)</f>
        <v>#ERROR!</v>
      </c>
      <c r="I20" s="56" t="str">
        <f>IFERROR(SUMIF('Julio'!E6:E55,"Ahorro",'Julio'!F6:F55),0)</f>
        <v>#ERROR!</v>
      </c>
      <c r="J20" s="56" t="str">
        <f>IFERROR(SUMIF('Agosto'!E6:E55,"Ahorro",'Agosto'!F6:F55),0)</f>
        <v>#ERROR!</v>
      </c>
      <c r="K20" s="56" t="str">
        <f>IFERROR(SUMIF('Septiembre'!E6:E55,"Ahorro",'Septiembre'!F6:F55),0)</f>
        <v>#ERROR!</v>
      </c>
      <c r="L20" s="56" t="str">
        <f>IFERROR(SUMIF('Octubre'!E6:E55,"Ahorro",'Octubre'!F6:F55),0)</f>
        <v>#ERROR!</v>
      </c>
      <c r="M20" s="56" t="str">
        <f>IFERROR(SUMIF('Noviembre'!E6:E55,"Ahorro",'Noviembre'!F6:F55),0)</f>
        <v>#ERROR!</v>
      </c>
      <c r="N20" s="56" t="str">
        <f>IFERROR(SUMIF('Diciembre'!E6:E55,"Ahorro",'Diciembre'!F6:F55),0)</f>
        <v>#ERROR!</v>
      </c>
      <c r="O20" s="57" t="str">
        <f t="shared" si="4"/>
        <v>#ERROR!</v>
      </c>
      <c r="P20" s="56" t="str">
        <f t="shared" si="5"/>
        <v>#ERROR!</v>
      </c>
      <c r="Q20" s="56" t="str">
        <f t="shared" si="6"/>
        <v>#ERROR!</v>
      </c>
    </row>
    <row r="21">
      <c r="B21" s="58" t="s">
        <v>34</v>
      </c>
      <c r="C21" s="59" t="str">
        <f>IFERROR(SUMIF('Enero'!E6:E55,"Otros",'Enero'!F6:F55),0)</f>
        <v>#ERROR!</v>
      </c>
      <c r="D21" s="59" t="str">
        <f>IFERROR(SUMIF('Febrero'!E6:E55,"Otros",'Febrero'!F6:F55),0)</f>
        <v>#ERROR!</v>
      </c>
      <c r="E21" s="59" t="str">
        <f>IFERROR(SUMIF('Marzo'!E6:E55,"Otros",'Marzo'!F6:F55),0)</f>
        <v>#ERROR!</v>
      </c>
      <c r="F21" s="59" t="str">
        <f>IFERROR(SUMIF('Abril'!E6:E55,"Otros",'Abril'!F6:F55),0)</f>
        <v>#ERROR!</v>
      </c>
      <c r="G21" s="59" t="str">
        <f>IFERROR(SUMIF('Mayo'!E6:E55,"Otros",'Mayo'!F6:F55),0)</f>
        <v>#ERROR!</v>
      </c>
      <c r="H21" s="59" t="str">
        <f>IFERROR(SUMIF('Junio'!E6:E55,"Otros",'Junio'!F6:F55),0)</f>
        <v>#ERROR!</v>
      </c>
      <c r="I21" s="59" t="str">
        <f>IFERROR(SUMIF('Julio'!E6:E55,"Otros",'Julio'!F6:F55),0)</f>
        <v>#ERROR!</v>
      </c>
      <c r="J21" s="59" t="str">
        <f>IFERROR(SUMIF('Agosto'!E6:E55,"Otros",'Agosto'!F6:F55),0)</f>
        <v>#ERROR!</v>
      </c>
      <c r="K21" s="59" t="str">
        <f>IFERROR(SUMIF('Septiembre'!E6:E55,"Otros",'Septiembre'!F6:F55),0)</f>
        <v>#ERROR!</v>
      </c>
      <c r="L21" s="59" t="str">
        <f>IFERROR(SUMIF('Octubre'!E6:E55,"Otros",'Octubre'!F6:F55),0)</f>
        <v>#ERROR!</v>
      </c>
      <c r="M21" s="59" t="str">
        <f>IFERROR(SUMIF('Noviembre'!E6:E55,"Otros",'Noviembre'!F6:F55),0)</f>
        <v>#ERROR!</v>
      </c>
      <c r="N21" s="59" t="str">
        <f>IFERROR(SUMIF('Diciembre'!E6:E55,"Otros",'Diciembre'!F6:F55),0)</f>
        <v>#ERROR!</v>
      </c>
      <c r="O21" s="60" t="str">
        <f t="shared" si="4"/>
        <v>#ERROR!</v>
      </c>
      <c r="P21" s="59" t="str">
        <f t="shared" si="5"/>
        <v>#ERROR!</v>
      </c>
      <c r="Q21" s="59" t="str">
        <f t="shared" si="6"/>
        <v>#ERROR!</v>
      </c>
    </row>
  </sheetData>
  <mergeCells count="2">
    <mergeCell ref="B1:Q1"/>
    <mergeCell ref="B11:Q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1FA2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25"/>
    <col customWidth="1" min="2" max="2" width="21.38"/>
    <col customWidth="1" min="3" max="18" width="14.5"/>
  </cols>
  <sheetData>
    <row r="1" ht="37.5" customHeight="1">
      <c r="B1" s="61" t="s">
        <v>58</v>
      </c>
    </row>
    <row r="2" ht="22.5" customHeight="1">
      <c r="B2" s="62" t="s">
        <v>59</v>
      </c>
    </row>
    <row r="4" ht="24.0" customHeight="1">
      <c r="B4" s="63" t="s">
        <v>8</v>
      </c>
      <c r="C4" s="63" t="s">
        <v>60</v>
      </c>
      <c r="D4" s="63" t="s">
        <v>61</v>
      </c>
      <c r="E4" s="64" t="s">
        <v>62</v>
      </c>
      <c r="F4" s="64" t="s">
        <v>63</v>
      </c>
      <c r="G4" s="64" t="s">
        <v>64</v>
      </c>
      <c r="H4" s="64" t="s">
        <v>65</v>
      </c>
      <c r="I4" s="64" t="s">
        <v>66</v>
      </c>
      <c r="J4" s="64" t="s">
        <v>67</v>
      </c>
      <c r="K4" s="64" t="s">
        <v>68</v>
      </c>
      <c r="L4" s="64" t="s">
        <v>69</v>
      </c>
      <c r="M4" s="64" t="s">
        <v>70</v>
      </c>
      <c r="N4" s="64" t="s">
        <v>71</v>
      </c>
      <c r="O4" s="64" t="s">
        <v>72</v>
      </c>
      <c r="P4" s="64" t="s">
        <v>73</v>
      </c>
      <c r="Q4" s="8" t="s">
        <v>74</v>
      </c>
      <c r="R4" s="8" t="s">
        <v>75</v>
      </c>
    </row>
    <row r="5" ht="28.5" customHeight="1">
      <c r="B5" s="65" t="s">
        <v>13</v>
      </c>
      <c r="C5" s="66"/>
      <c r="D5" s="54">
        <f t="shared" ref="D5:D6" si="1">IFERROR(C5/12,"")</f>
        <v>0</v>
      </c>
      <c r="E5" s="67">
        <v>0.0</v>
      </c>
      <c r="F5" s="68">
        <v>0.0</v>
      </c>
      <c r="G5" s="67">
        <v>0.0</v>
      </c>
      <c r="H5" s="68">
        <v>0.0</v>
      </c>
      <c r="I5" s="67">
        <v>0.0</v>
      </c>
      <c r="J5" s="68">
        <v>0.0</v>
      </c>
      <c r="K5" s="67">
        <v>0.0</v>
      </c>
      <c r="L5" s="68">
        <v>0.0</v>
      </c>
      <c r="M5" s="67">
        <v>0.0</v>
      </c>
      <c r="N5" s="68">
        <v>0.0</v>
      </c>
      <c r="O5" s="67">
        <v>0.0</v>
      </c>
      <c r="P5" s="68">
        <v>0.0</v>
      </c>
      <c r="Q5" s="53">
        <f t="shared" ref="Q5:Q6" si="2">SUM(E5:P5)</f>
        <v>0</v>
      </c>
      <c r="R5" s="69" t="str">
        <f t="shared" ref="R5:R6" si="3">IFERROR(Q5/C5*100,"")</f>
        <v/>
      </c>
    </row>
    <row r="6" ht="28.5" customHeight="1">
      <c r="B6" s="65" t="s">
        <v>14</v>
      </c>
      <c r="C6" s="66"/>
      <c r="D6" s="54">
        <f t="shared" si="1"/>
        <v>0</v>
      </c>
      <c r="E6" s="67">
        <v>0.0</v>
      </c>
      <c r="F6" s="68">
        <v>0.0</v>
      </c>
      <c r="G6" s="67">
        <v>0.0</v>
      </c>
      <c r="H6" s="68">
        <v>500000.0</v>
      </c>
      <c r="I6" s="67">
        <v>0.0</v>
      </c>
      <c r="J6" s="68">
        <v>0.0</v>
      </c>
      <c r="K6" s="67">
        <v>0.0</v>
      </c>
      <c r="L6" s="68">
        <v>0.0</v>
      </c>
      <c r="M6" s="67">
        <v>0.0</v>
      </c>
      <c r="N6" s="68">
        <v>0.0</v>
      </c>
      <c r="O6" s="67">
        <v>0.0</v>
      </c>
      <c r="P6" s="68">
        <v>0.0</v>
      </c>
      <c r="Q6" s="53">
        <f t="shared" si="2"/>
        <v>500000</v>
      </c>
      <c r="R6" s="69" t="str">
        <f t="shared" si="3"/>
        <v/>
      </c>
    </row>
    <row r="8" ht="11.25" customHeight="1"/>
    <row r="9" ht="28.5" customHeight="1">
      <c r="B9" s="70" t="s">
        <v>76</v>
      </c>
    </row>
    <row r="10">
      <c r="B10" s="71" t="s">
        <v>77</v>
      </c>
      <c r="F10" s="72" t="s">
        <v>78</v>
      </c>
      <c r="J10" s="73" t="s">
        <v>79</v>
      </c>
      <c r="N10" s="74" t="s">
        <v>80</v>
      </c>
    </row>
    <row r="11" ht="41.25" customHeight="1">
      <c r="B11" s="75">
        <f>SUM(C5:C6)</f>
        <v>0</v>
      </c>
      <c r="F11" s="76">
        <f>SUM(Q5:Q6)</f>
        <v>500000</v>
      </c>
      <c r="J11" s="77">
        <f>IFERROR(B11/F11*100,"")</f>
        <v>0</v>
      </c>
      <c r="N11" s="78" t="str">
        <f>MAX(C10-G10,0)</f>
        <v>#ERROR!</v>
      </c>
    </row>
    <row r="12" ht="9.0" customHeight="1"/>
    <row r="13" ht="24.0" customHeight="1">
      <c r="B13" s="8" t="s">
        <v>81</v>
      </c>
    </row>
    <row r="14" ht="41.25" customHeight="1">
      <c r="B14" s="79" t="str">
        <f>REPT(CHAR(9608),MIN(INT(K10/10),10))&amp;REPT(CHAR(9617),MAX(10-MIN(INT(K10/10),10),0))&amp;"  "&amp;TEXT(K10,"0.0")&amp;"% completado"</f>
        <v>#ERROR!</v>
      </c>
    </row>
  </sheetData>
  <mergeCells count="13">
    <mergeCell ref="B11:E11"/>
    <mergeCell ref="F11:I11"/>
    <mergeCell ref="J11:M11"/>
    <mergeCell ref="N11:Q11"/>
    <mergeCell ref="B13:R13"/>
    <mergeCell ref="B14:R14"/>
    <mergeCell ref="B1:R1"/>
    <mergeCell ref="B2:R2"/>
    <mergeCell ref="B9:R9"/>
    <mergeCell ref="B10:E10"/>
    <mergeCell ref="F10:I10"/>
    <mergeCell ref="J10:M10"/>
    <mergeCell ref="N10:Q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38F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25"/>
    <col customWidth="1" min="2" max="2" width="20.13"/>
    <col customWidth="1" min="3" max="10" width="15.13"/>
  </cols>
  <sheetData>
    <row r="1" ht="37.5" customHeight="1">
      <c r="B1" s="80" t="s">
        <v>82</v>
      </c>
    </row>
    <row r="3">
      <c r="B3" s="27" t="s">
        <v>83</v>
      </c>
      <c r="D3" s="81" t="s">
        <v>84</v>
      </c>
      <c r="F3" s="32" t="s">
        <v>85</v>
      </c>
      <c r="H3" s="65" t="s">
        <v>86</v>
      </c>
    </row>
    <row r="4" ht="41.25" customHeight="1">
      <c r="B4" s="82" t="str">
        <f>IFERROR('Enero'!C3+'Febrero'!C3+'Marzo'!C3+'Abril'!C3+'Mayo'!C3+'Junio'!C3+'Julio'!C3+'Agosto'!C3+'Septiembre'!C3+'Octubre'!C3+'Noviembre'!C3+'Diciembre'!C3,0)</f>
        <v>#ERROR!</v>
      </c>
      <c r="D4" s="83" t="str">
        <f>IFERROR(SUMIFS('Enero'!F6:F55,'Enero'!C6:C55,"Franco")+SUMIFS('Febrero'!F6:F55,'Febrero'!C6:C55,"Franco")+SUMIFS('Marzo'!F6:F55,'Marzo'!C6:C55,"Franco")+SUMIFS('Abril'!F6:F55,'Abril'!C6:C55,"Franco")+SUMIFS('Mayo'!F6:F55,'Mayo'!C6:C55,"Franco")+SUMIFS('Junio'!F6:F55,'Junio'!C6:C55,"Franco")+SUMIFS('Julio'!F6:F55,'Julio'!C6:C55,"Franco")+SUMIFS('Agosto'!F6:F55,'Agosto'!C6:C55,"Franco")+SUMIFS('Septiembre'!F6:F55,'Septiembre'!C6:C55,"Franco")+SUMIFS('Octubre'!F6:F55,'Octubre'!C6:C55,"Franco")+SUMIFS('Noviembre'!F6:F55,'Noviembre'!C6:C55,"Franco")+SUMIFS('Diciembre'!F6:F55,'Diciembre'!C6:C55,"Franco"),0)</f>
        <v>#ERROR!</v>
      </c>
      <c r="F4" s="84">
        <f>C4-E4</f>
        <v>0</v>
      </c>
      <c r="H4" s="85" t="str">
        <f>IFERROR(G4/C4*100,"")</f>
        <v/>
      </c>
    </row>
    <row r="5" ht="9.0" customHeight="1"/>
    <row r="6" ht="24.0" customHeight="1">
      <c r="B6" s="40" t="s">
        <v>87</v>
      </c>
      <c r="C6" s="40" t="s">
        <v>9</v>
      </c>
      <c r="D6" s="40" t="s">
        <v>10</v>
      </c>
      <c r="E6" s="40" t="s">
        <v>11</v>
      </c>
      <c r="F6" s="40" t="s">
        <v>88</v>
      </c>
      <c r="H6" s="86" t="s">
        <v>89</v>
      </c>
    </row>
    <row r="7" ht="22.5" customHeight="1">
      <c r="B7" s="87" t="s">
        <v>2</v>
      </c>
      <c r="C7" s="16" t="str">
        <f>IFERROR('Enero'!C3,0)</f>
        <v>#ERROR!</v>
      </c>
      <c r="D7" s="17" t="str">
        <f>IFERROR(SUMIFS('Enero'!F6:F55,'Enero'!C6:C55,"Franco"),0)</f>
        <v>#ERROR!</v>
      </c>
      <c r="E7" s="18" t="str">
        <f t="shared" ref="E7:E19" si="1">C7-D7</f>
        <v>#ERROR!</v>
      </c>
      <c r="F7" s="88" t="str">
        <f t="shared" ref="F7:F19" si="2">IFERROR(E7/C7*100,"")</f>
        <v/>
      </c>
      <c r="H7" s="22" t="s">
        <v>17</v>
      </c>
      <c r="I7" s="22" t="s">
        <v>90</v>
      </c>
    </row>
    <row r="8" ht="22.5" customHeight="1">
      <c r="B8" s="29" t="s">
        <v>91</v>
      </c>
      <c r="C8" s="16" t="str">
        <f>IFERROR('Febrero'!C3,0)</f>
        <v>#ERROR!</v>
      </c>
      <c r="D8" s="17" t="str">
        <f>IFERROR(SUMIFS('Febrero'!F6:F55,'Febrero'!C6:C55,"Franco"),0)</f>
        <v>#ERROR!</v>
      </c>
      <c r="E8" s="18" t="str">
        <f t="shared" si="1"/>
        <v>#ERROR!</v>
      </c>
      <c r="F8" s="31" t="str">
        <f t="shared" si="2"/>
        <v/>
      </c>
      <c r="H8" s="24" t="s">
        <v>21</v>
      </c>
      <c r="I8" s="25" t="str">
        <f>IFERROR(SUMIFS('Enero'!F6:F55,'Enero'!C6:C55,"Franco",'Enero'!E6:E55,"Alimentación")+SUMIFS('Febrero'!F6:F55,'Febrero'!C6:C55,"Franco",'Febrero'!E6:E55,"Alimentación")+SUMIFS('Marzo'!F6:F55,'Marzo'!C6:C55,"Franco",'Marzo'!E6:E55,"Alimentación")+SUMIFS('Abril'!F6:F55,'Abril'!C6:C55,"Franco",'Abril'!E6:E55,"Alimentación")+SUMIFS('Mayo'!F6:F55,'Mayo'!C6:C55,"Franco",'Mayo'!E6:E55,"Alimentación")+SUMIFS('Junio'!F6:F55,'Junio'!C6:C55,"Franco",'Junio'!E6:E55,"Alimentación")+SUMIFS('Julio'!F6:F55,'Julio'!C6:C55,"Franco",'Julio'!E6:E55,"Alimentación")+SUMIFS('Agosto'!F6:F55,'Agosto'!C6:C55,"Franco",'Agosto'!E6:E55,"Alimentación")+SUMIFS('Septiembre'!F6:F55,'Septiembre'!C6:C55,"Franco",'Septiembre'!E6:E55,"Alimentación")+SUMIFS('Octubre'!F6:F55,'Octubre'!C6:C55,"Franco",'Octubre'!E6:E55,"Alimentación")+SUMIFS('Noviembre'!F6:F55,'Noviembre'!C6:C55,"Franco",'Noviembre'!E6:E55,"Alimentación")+SUMIFS('Diciembre'!F6:F55,'Diciembre'!C6:C55,"Franco",'Diciembre'!E6:E55,"Alimentación"),0)</f>
        <v>#ERROR!</v>
      </c>
    </row>
    <row r="9" ht="22.5" customHeight="1">
      <c r="B9" s="87" t="s">
        <v>92</v>
      </c>
      <c r="C9" s="16" t="str">
        <f>IFERROR('Marzo'!C3,0)</f>
        <v>#ERROR!</v>
      </c>
      <c r="D9" s="17" t="str">
        <f>IFERROR(SUMIFS('Marzo'!F6:F55,'Marzo'!C6:C55,"Franco"),0)</f>
        <v>#ERROR!</v>
      </c>
      <c r="E9" s="18" t="str">
        <f t="shared" si="1"/>
        <v>#ERROR!</v>
      </c>
      <c r="F9" s="88" t="str">
        <f t="shared" si="2"/>
        <v/>
      </c>
      <c r="H9" s="89" t="s">
        <v>23</v>
      </c>
      <c r="I9" s="90" t="str">
        <f>IFERROR(SUMIFS('Enero'!F6:F55,'Enero'!C6:C55,"Franco",'Enero'!E6:E55,"Transporte")+SUMIFS('Febrero'!F6:F55,'Febrero'!C6:C55,"Franco",'Febrero'!E6:E55,"Transporte")+SUMIFS('Marzo'!F6:F55,'Marzo'!C6:C55,"Franco",'Marzo'!E6:E55,"Transporte")+SUMIFS('Abril'!F6:F55,'Abril'!C6:C55,"Franco",'Abril'!E6:E55,"Transporte")+SUMIFS('Mayo'!F6:F55,'Mayo'!C6:C55,"Franco",'Mayo'!E6:E55,"Transporte")+SUMIFS('Junio'!F6:F55,'Junio'!C6:C55,"Franco",'Junio'!E6:E55,"Transporte")+SUMIFS('Julio'!F6:F55,'Julio'!C6:C55,"Franco",'Julio'!E6:E55,"Transporte")+SUMIFS('Agosto'!F6:F55,'Agosto'!C6:C55,"Franco",'Agosto'!E6:E55,"Transporte")+SUMIFS('Septiembre'!F6:F55,'Septiembre'!C6:C55,"Franco",'Septiembre'!E6:E55,"Transporte")+SUMIFS('Octubre'!F6:F55,'Octubre'!C6:C55,"Franco",'Octubre'!E6:E55,"Transporte")+SUMIFS('Noviembre'!F6:F55,'Noviembre'!C6:C55,"Franco",'Noviembre'!E6:E55,"Transporte")+SUMIFS('Diciembre'!F6:F55,'Diciembre'!C6:C55,"Franco",'Diciembre'!E6:E55,"Transporte"),0)</f>
        <v>#ERROR!</v>
      </c>
    </row>
    <row r="10" ht="22.5" customHeight="1">
      <c r="B10" s="29" t="s">
        <v>93</v>
      </c>
      <c r="C10" s="16" t="str">
        <f>IFERROR('Abril'!C3,0)</f>
        <v>#ERROR!</v>
      </c>
      <c r="D10" s="17" t="str">
        <f>IFERROR(SUMIFS('Abril'!F6:F55,'Abril'!C6:C55,"Franco"),0)</f>
        <v>#ERROR!</v>
      </c>
      <c r="E10" s="18" t="str">
        <f t="shared" si="1"/>
        <v>#ERROR!</v>
      </c>
      <c r="F10" s="31" t="str">
        <f t="shared" si="2"/>
        <v/>
      </c>
      <c r="H10" s="24" t="s">
        <v>25</v>
      </c>
      <c r="I10" s="25" t="str">
        <f>IFERROR(SUMIFS('Enero'!F6:F55,'Enero'!C6:C55,"Franco",'Enero'!E6:E55,"Vivienda")+SUMIFS('Febrero'!F6:F55,'Febrero'!C6:C55,"Franco",'Febrero'!E6:E55,"Vivienda")+SUMIFS('Marzo'!F6:F55,'Marzo'!C6:C55,"Franco",'Marzo'!E6:E55,"Vivienda")+SUMIFS('Abril'!F6:F55,'Abril'!C6:C55,"Franco",'Abril'!E6:E55,"Vivienda")+SUMIFS('Mayo'!F6:F55,'Mayo'!C6:C55,"Franco",'Mayo'!E6:E55,"Vivienda")+SUMIFS('Junio'!F6:F55,'Junio'!C6:C55,"Franco",'Junio'!E6:E55,"Vivienda")+SUMIFS('Julio'!F6:F55,'Julio'!C6:C55,"Franco",'Julio'!E6:E55,"Vivienda")+SUMIFS('Agosto'!F6:F55,'Agosto'!C6:C55,"Franco",'Agosto'!E6:E55,"Vivienda")+SUMIFS('Septiembre'!F6:F55,'Septiembre'!C6:C55,"Franco",'Septiembre'!E6:E55,"Vivienda")+SUMIFS('Octubre'!F6:F55,'Octubre'!C6:C55,"Franco",'Octubre'!E6:E55,"Vivienda")+SUMIFS('Noviembre'!F6:F55,'Noviembre'!C6:C55,"Franco",'Noviembre'!E6:E55,"Vivienda")+SUMIFS('Diciembre'!F6:F55,'Diciembre'!C6:C55,"Franco",'Diciembre'!E6:E55,"Vivienda"),0)</f>
        <v>#ERROR!</v>
      </c>
    </row>
    <row r="11" ht="22.5" customHeight="1">
      <c r="B11" s="87" t="s">
        <v>94</v>
      </c>
      <c r="C11" s="16" t="str">
        <f>IFERROR('Mayo'!C3,0)</f>
        <v>#ERROR!</v>
      </c>
      <c r="D11" s="17" t="str">
        <f>IFERROR(SUMIFS('Mayo'!F6:F55,'Mayo'!C6:C55,"Franco"),0)</f>
        <v>#ERROR!</v>
      </c>
      <c r="E11" s="18" t="str">
        <f t="shared" si="1"/>
        <v>#ERROR!</v>
      </c>
      <c r="F11" s="88" t="str">
        <f t="shared" si="2"/>
        <v/>
      </c>
      <c r="H11" s="89" t="s">
        <v>27</v>
      </c>
      <c r="I11" s="90" t="str">
        <f>IFERROR(SUMIFS('Enero'!F6:F55,'Enero'!C6:C55,"Franco",'Enero'!E6:E55,"Salud")+SUMIFS('Febrero'!F6:F55,'Febrero'!C6:C55,"Franco",'Febrero'!E6:E55,"Salud")+SUMIFS('Marzo'!F6:F55,'Marzo'!C6:C55,"Franco",'Marzo'!E6:E55,"Salud")+SUMIFS('Abril'!F6:F55,'Abril'!C6:C55,"Franco",'Abril'!E6:E55,"Salud")+SUMIFS('Mayo'!F6:F55,'Mayo'!C6:C55,"Franco",'Mayo'!E6:E55,"Salud")+SUMIFS('Junio'!F6:F55,'Junio'!C6:C55,"Franco",'Junio'!E6:E55,"Salud")+SUMIFS('Julio'!F6:F55,'Julio'!C6:C55,"Franco",'Julio'!E6:E55,"Salud")+SUMIFS('Agosto'!F6:F55,'Agosto'!C6:C55,"Franco",'Agosto'!E6:E55,"Salud")+SUMIFS('Septiembre'!F6:F55,'Septiembre'!C6:C55,"Franco",'Septiembre'!E6:E55,"Salud")+SUMIFS('Octubre'!F6:F55,'Octubre'!C6:C55,"Franco",'Octubre'!E6:E55,"Salud")+SUMIFS('Noviembre'!F6:F55,'Noviembre'!C6:C55,"Franco",'Noviembre'!E6:E55,"Salud")+SUMIFS('Diciembre'!F6:F55,'Diciembre'!C6:C55,"Franco",'Diciembre'!E6:E55,"Salud"),0)</f>
        <v>#ERROR!</v>
      </c>
    </row>
    <row r="12" ht="22.5" customHeight="1">
      <c r="B12" s="29" t="s">
        <v>95</v>
      </c>
      <c r="C12" s="16" t="str">
        <f>IFERROR('Junio'!C3,0)</f>
        <v>#ERROR!</v>
      </c>
      <c r="D12" s="17" t="str">
        <f>IFERROR(SUMIFS('Junio'!F6:F55,'Junio'!C6:C55,"Franco"),0)</f>
        <v>#ERROR!</v>
      </c>
      <c r="E12" s="18" t="str">
        <f t="shared" si="1"/>
        <v>#ERROR!</v>
      </c>
      <c r="F12" s="31" t="str">
        <f t="shared" si="2"/>
        <v/>
      </c>
      <c r="H12" s="24" t="s">
        <v>29</v>
      </c>
      <c r="I12" s="25" t="str">
        <f>IFERROR(SUMIFS('Enero'!F6:F55,'Enero'!C6:C55,"Franco",'Enero'!E6:E55,"Educación")+SUMIFS('Febrero'!F6:F55,'Febrero'!C6:C55,"Franco",'Febrero'!E6:E55,"Educación")+SUMIFS('Marzo'!F6:F55,'Marzo'!C6:C55,"Franco",'Marzo'!E6:E55,"Educación")+SUMIFS('Abril'!F6:F55,'Abril'!C6:C55,"Franco",'Abril'!E6:E55,"Educación")+SUMIFS('Mayo'!F6:F55,'Mayo'!C6:C55,"Franco",'Mayo'!E6:E55,"Educación")+SUMIFS('Junio'!F6:F55,'Junio'!C6:C55,"Franco",'Junio'!E6:E55,"Educación")+SUMIFS('Julio'!F6:F55,'Julio'!C6:C55,"Franco",'Julio'!E6:E55,"Educación")+SUMIFS('Agosto'!F6:F55,'Agosto'!C6:C55,"Franco",'Agosto'!E6:E55,"Educación")+SUMIFS('Septiembre'!F6:F55,'Septiembre'!C6:C55,"Franco",'Septiembre'!E6:E55,"Educación")+SUMIFS('Octubre'!F6:F55,'Octubre'!C6:C55,"Franco",'Octubre'!E6:E55,"Educación")+SUMIFS('Noviembre'!F6:F55,'Noviembre'!C6:C55,"Franco",'Noviembre'!E6:E55,"Educación")+SUMIFS('Diciembre'!F6:F55,'Diciembre'!C6:C55,"Franco",'Diciembre'!E6:E55,"Educación"),0)</f>
        <v>#ERROR!</v>
      </c>
    </row>
    <row r="13" ht="22.5" customHeight="1">
      <c r="B13" s="87" t="s">
        <v>96</v>
      </c>
      <c r="C13" s="16" t="str">
        <f>IFERROR('Julio'!C3,0)</f>
        <v>#ERROR!</v>
      </c>
      <c r="D13" s="17" t="str">
        <f>IFERROR(SUMIFS('Julio'!F6:F55,'Julio'!C6:C55,"Franco"),0)</f>
        <v>#ERROR!</v>
      </c>
      <c r="E13" s="18" t="str">
        <f t="shared" si="1"/>
        <v>#ERROR!</v>
      </c>
      <c r="F13" s="88" t="str">
        <f t="shared" si="2"/>
        <v/>
      </c>
      <c r="H13" s="89" t="s">
        <v>30</v>
      </c>
      <c r="I13" s="90" t="str">
        <f>IFERROR(SUMIFS('Enero'!F6:F55,'Enero'!C6:C55,"Franco",'Enero'!E6:E55,"Entretenimiento")+SUMIFS('Febrero'!F6:F55,'Febrero'!C6:C55,"Franco",'Febrero'!E6:E55,"Entretenimiento")+SUMIFS('Marzo'!F6:F55,'Marzo'!C6:C55,"Franco",'Marzo'!E6:E55,"Entretenimiento")+SUMIFS('Abril'!F6:F55,'Abril'!C6:C55,"Franco",'Abril'!E6:E55,"Entretenimiento")+SUMIFS('Mayo'!F6:F55,'Mayo'!C6:C55,"Franco",'Mayo'!E6:E55,"Entretenimiento")+SUMIFS('Junio'!F6:F55,'Junio'!C6:C55,"Franco",'Junio'!E6:E55,"Entretenimiento")+SUMIFS('Julio'!F6:F55,'Julio'!C6:C55,"Franco",'Julio'!E6:E55,"Entretenimiento")+SUMIFS('Agosto'!F6:F55,'Agosto'!C6:C55,"Franco",'Agosto'!E6:E55,"Entretenimiento")+SUMIFS('Septiembre'!F6:F55,'Septiembre'!C6:C55,"Franco",'Septiembre'!E6:E55,"Entretenimiento")+SUMIFS('Octubre'!F6:F55,'Octubre'!C6:C55,"Franco",'Octubre'!E6:E55,"Entretenimiento")+SUMIFS('Noviembre'!F6:F55,'Noviembre'!C6:C55,"Franco",'Noviembre'!E6:E55,"Entretenimiento")+SUMIFS('Diciembre'!F6:F55,'Diciembre'!C6:C55,"Franco",'Diciembre'!E6:E55,"Entretenimiento"),0)</f>
        <v>#ERROR!</v>
      </c>
    </row>
    <row r="14" ht="22.5" customHeight="1">
      <c r="B14" s="29" t="s">
        <v>97</v>
      </c>
      <c r="C14" s="16" t="str">
        <f>IFERROR('Agosto'!C3,0)</f>
        <v>#ERROR!</v>
      </c>
      <c r="D14" s="17" t="str">
        <f>IFERROR(SUMIFS('Agosto'!F6:F55,'Agosto'!C6:C55,"Franco"),0)</f>
        <v>#ERROR!</v>
      </c>
      <c r="E14" s="18" t="str">
        <f t="shared" si="1"/>
        <v>#ERROR!</v>
      </c>
      <c r="F14" s="31" t="str">
        <f t="shared" si="2"/>
        <v/>
      </c>
      <c r="H14" s="24" t="s">
        <v>31</v>
      </c>
      <c r="I14" s="25" t="str">
        <f>IFERROR(SUMIFS('Enero'!F6:F55,'Enero'!C6:C55,"Franco",'Enero'!E6:E55,"Ropa")+SUMIFS('Febrero'!F6:F55,'Febrero'!C6:C55,"Franco",'Febrero'!E6:E55,"Ropa")+SUMIFS('Marzo'!F6:F55,'Marzo'!C6:C55,"Franco",'Marzo'!E6:E55,"Ropa")+SUMIFS('Abril'!F6:F55,'Abril'!C6:C55,"Franco",'Abril'!E6:E55,"Ropa")+SUMIFS('Mayo'!F6:F55,'Mayo'!C6:C55,"Franco",'Mayo'!E6:E55,"Ropa")+SUMIFS('Junio'!F6:F55,'Junio'!C6:C55,"Franco",'Junio'!E6:E55,"Ropa")+SUMIFS('Julio'!F6:F55,'Julio'!C6:C55,"Franco",'Julio'!E6:E55,"Ropa")+SUMIFS('Agosto'!F6:F55,'Agosto'!C6:C55,"Franco",'Agosto'!E6:E55,"Ropa")+SUMIFS('Septiembre'!F6:F55,'Septiembre'!C6:C55,"Franco",'Septiembre'!E6:E55,"Ropa")+SUMIFS('Octubre'!F6:F55,'Octubre'!C6:C55,"Franco",'Octubre'!E6:E55,"Ropa")+SUMIFS('Noviembre'!F6:F55,'Noviembre'!C6:C55,"Franco",'Noviembre'!E6:E55,"Ropa")+SUMIFS('Diciembre'!F6:F55,'Diciembre'!C6:C55,"Franco",'Diciembre'!E6:E55,"Ropa"),0)</f>
        <v>#ERROR!</v>
      </c>
    </row>
    <row r="15" ht="22.5" customHeight="1">
      <c r="B15" s="87" t="s">
        <v>98</v>
      </c>
      <c r="C15" s="16" t="str">
        <f>IFERROR('Septiembre'!C3,0)</f>
        <v>#ERROR!</v>
      </c>
      <c r="D15" s="17" t="str">
        <f>IFERROR(SUMIFS('Septiembre'!F6:F55,'Septiembre'!C6:C55,"Franco"),0)</f>
        <v>#ERROR!</v>
      </c>
      <c r="E15" s="18" t="str">
        <f t="shared" si="1"/>
        <v>#ERROR!</v>
      </c>
      <c r="F15" s="88" t="str">
        <f t="shared" si="2"/>
        <v/>
      </c>
      <c r="H15" s="89" t="s">
        <v>32</v>
      </c>
      <c r="I15" s="90" t="str">
        <f>IFERROR(SUMIFS('Enero'!F6:F55,'Enero'!C6:C55,"Franco",'Enero'!E6:E55,"Servicios")+SUMIFS('Febrero'!F6:F55,'Febrero'!C6:C55,"Franco",'Febrero'!E6:E55,"Servicios")+SUMIFS('Marzo'!F6:F55,'Marzo'!C6:C55,"Franco",'Marzo'!E6:E55,"Servicios")+SUMIFS('Abril'!F6:F55,'Abril'!C6:C55,"Franco",'Abril'!E6:E55,"Servicios")+SUMIFS('Mayo'!F6:F55,'Mayo'!C6:C55,"Franco",'Mayo'!E6:E55,"Servicios")+SUMIFS('Junio'!F6:F55,'Junio'!C6:C55,"Franco",'Junio'!E6:E55,"Servicios")+SUMIFS('Julio'!F6:F55,'Julio'!C6:C55,"Franco",'Julio'!E6:E55,"Servicios")+SUMIFS('Agosto'!F6:F55,'Agosto'!C6:C55,"Franco",'Agosto'!E6:E55,"Servicios")+SUMIFS('Septiembre'!F6:F55,'Septiembre'!C6:C55,"Franco",'Septiembre'!E6:E55,"Servicios")+SUMIFS('Octubre'!F6:F55,'Octubre'!C6:C55,"Franco",'Octubre'!E6:E55,"Servicios")+SUMIFS('Noviembre'!F6:F55,'Noviembre'!C6:C55,"Franco",'Noviembre'!E6:E55,"Servicios")+SUMIFS('Diciembre'!F6:F55,'Diciembre'!C6:C55,"Franco",'Diciembre'!E6:E55,"Servicios"),0)</f>
        <v>#ERROR!</v>
      </c>
    </row>
    <row r="16" ht="22.5" customHeight="1">
      <c r="B16" s="29" t="s">
        <v>99</v>
      </c>
      <c r="C16" s="16" t="str">
        <f>IFERROR('Octubre'!C3,0)</f>
        <v>#ERROR!</v>
      </c>
      <c r="D16" s="17" t="str">
        <f>IFERROR(SUMIFS('Octubre'!F6:F55,'Octubre'!C6:C55,"Franco"),0)</f>
        <v>#ERROR!</v>
      </c>
      <c r="E16" s="18" t="str">
        <f t="shared" si="1"/>
        <v>#ERROR!</v>
      </c>
      <c r="F16" s="31" t="str">
        <f t="shared" si="2"/>
        <v/>
      </c>
      <c r="H16" s="24" t="s">
        <v>33</v>
      </c>
      <c r="I16" s="25" t="str">
        <f>IFERROR(SUMIFS('Enero'!F6:F55,'Enero'!C6:C55,"Franco",'Enero'!E6:E55,"Ahorro")+SUMIFS('Febrero'!F6:F55,'Febrero'!C6:C55,"Franco",'Febrero'!E6:E55,"Ahorro")+SUMIFS('Marzo'!F6:F55,'Marzo'!C6:C55,"Franco",'Marzo'!E6:E55,"Ahorro")+SUMIFS('Abril'!F6:F55,'Abril'!C6:C55,"Franco",'Abril'!E6:E55,"Ahorro")+SUMIFS('Mayo'!F6:F55,'Mayo'!C6:C55,"Franco",'Mayo'!E6:E55,"Ahorro")+SUMIFS('Junio'!F6:F55,'Junio'!C6:C55,"Franco",'Junio'!E6:E55,"Ahorro")+SUMIFS('Julio'!F6:F55,'Julio'!C6:C55,"Franco",'Julio'!E6:E55,"Ahorro")+SUMIFS('Agosto'!F6:F55,'Agosto'!C6:C55,"Franco",'Agosto'!E6:E55,"Ahorro")+SUMIFS('Septiembre'!F6:F55,'Septiembre'!C6:C55,"Franco",'Septiembre'!E6:E55,"Ahorro")+SUMIFS('Octubre'!F6:F55,'Octubre'!C6:C55,"Franco",'Octubre'!E6:E55,"Ahorro")+SUMIFS('Noviembre'!F6:F55,'Noviembre'!C6:C55,"Franco",'Noviembre'!E6:E55,"Ahorro")+SUMIFS('Diciembre'!F6:F55,'Diciembre'!C6:C55,"Franco",'Diciembre'!E6:E55,"Ahorro"),0)</f>
        <v>#ERROR!</v>
      </c>
    </row>
    <row r="17" ht="22.5" customHeight="1">
      <c r="B17" s="87" t="s">
        <v>100</v>
      </c>
      <c r="C17" s="16" t="str">
        <f>IFERROR('Noviembre'!C3,0)</f>
        <v>#ERROR!</v>
      </c>
      <c r="D17" s="17" t="str">
        <f>IFERROR(SUMIFS('Noviembre'!F6:F55,'Noviembre'!C6:C55,"Franco"),0)</f>
        <v>#ERROR!</v>
      </c>
      <c r="E17" s="18" t="str">
        <f t="shared" si="1"/>
        <v>#ERROR!</v>
      </c>
      <c r="F17" s="88" t="str">
        <f t="shared" si="2"/>
        <v/>
      </c>
      <c r="H17" s="89" t="s">
        <v>34</v>
      </c>
      <c r="I17" s="90" t="str">
        <f>IFERROR(SUMIFS('Enero'!F6:F55,'Enero'!C6:C55,"Franco",'Enero'!E6:E55,"Otros")+SUMIFS('Febrero'!F6:F55,'Febrero'!C6:C55,"Franco",'Febrero'!E6:E55,"Otros")+SUMIFS('Marzo'!F6:F55,'Marzo'!C6:C55,"Franco",'Marzo'!E6:E55,"Otros")+SUMIFS('Abril'!F6:F55,'Abril'!C6:C55,"Franco",'Abril'!E6:E55,"Otros")+SUMIFS('Mayo'!F6:F55,'Mayo'!C6:C55,"Franco",'Mayo'!E6:E55,"Otros")+SUMIFS('Junio'!F6:F55,'Junio'!C6:C55,"Franco",'Junio'!E6:E55,"Otros")+SUMIFS('Julio'!F6:F55,'Julio'!C6:C55,"Franco",'Julio'!E6:E55,"Otros")+SUMIFS('Agosto'!F6:F55,'Agosto'!C6:C55,"Franco",'Agosto'!E6:E55,"Otros")+SUMIFS('Septiembre'!F6:F55,'Septiembre'!C6:C55,"Franco",'Septiembre'!E6:E55,"Otros")+SUMIFS('Octubre'!F6:F55,'Octubre'!C6:C55,"Franco",'Octubre'!E6:E55,"Otros")+SUMIFS('Noviembre'!F6:F55,'Noviembre'!C6:C55,"Franco",'Noviembre'!E6:E55,"Otros")+SUMIFS('Diciembre'!F6:F55,'Diciembre'!C6:C55,"Franco",'Diciembre'!E6:E55,"Otros"),0)</f>
        <v>#ERROR!</v>
      </c>
    </row>
    <row r="18" ht="22.5" customHeight="1">
      <c r="B18" s="29" t="s">
        <v>101</v>
      </c>
      <c r="C18" s="16" t="str">
        <f>IFERROR('Diciembre'!C3,0)</f>
        <v>#ERROR!</v>
      </c>
      <c r="D18" s="17" t="str">
        <f>IFERROR(SUMIFS('Diciembre'!F6:F55,'Diciembre'!C6:C55,"Franco"),0)</f>
        <v>#ERROR!</v>
      </c>
      <c r="E18" s="18" t="str">
        <f t="shared" si="1"/>
        <v>#ERROR!</v>
      </c>
      <c r="F18" s="31" t="str">
        <f t="shared" si="2"/>
        <v/>
      </c>
    </row>
    <row r="19" ht="28.5" customHeight="1">
      <c r="B19" s="39" t="s">
        <v>49</v>
      </c>
      <c r="C19" s="91" t="str">
        <f t="shared" ref="C19:D19" si="3">SUM(C7:C18)</f>
        <v>#ERROR!</v>
      </c>
      <c r="D19" s="92" t="str">
        <f t="shared" si="3"/>
        <v>#ERROR!</v>
      </c>
      <c r="E19" s="93" t="str">
        <f t="shared" si="1"/>
        <v>#ERROR!</v>
      </c>
      <c r="F19" s="94" t="str">
        <f t="shared" si="2"/>
        <v/>
      </c>
    </row>
    <row r="20" ht="11.25" customHeight="1"/>
  </sheetData>
  <mergeCells count="10">
    <mergeCell ref="F4:G4"/>
    <mergeCell ref="H4:I4"/>
    <mergeCell ref="H6:I6"/>
    <mergeCell ref="B1:J1"/>
    <mergeCell ref="B3:C3"/>
    <mergeCell ref="D3:E3"/>
    <mergeCell ref="F3:G3"/>
    <mergeCell ref="H3:I3"/>
    <mergeCell ref="B4:C4"/>
    <mergeCell ref="D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38F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25"/>
    <col customWidth="1" min="2" max="2" width="20.13"/>
    <col customWidth="1" min="3" max="10" width="15.13"/>
  </cols>
  <sheetData>
    <row r="1" ht="37.5" customHeight="1">
      <c r="B1" s="80" t="s">
        <v>102</v>
      </c>
    </row>
    <row r="3">
      <c r="B3" s="27" t="s">
        <v>83</v>
      </c>
      <c r="D3" s="81" t="s">
        <v>84</v>
      </c>
      <c r="F3" s="32" t="s">
        <v>85</v>
      </c>
      <c r="H3" s="65" t="s">
        <v>86</v>
      </c>
    </row>
    <row r="4" ht="41.25" customHeight="1">
      <c r="B4" s="82" t="str">
        <f>IFERROR('Enero'!D3+'Febrero'!D3+'Marzo'!D3+'Abril'!D3+'Mayo'!D3+'Junio'!D3+'Julio'!D3+'Agosto'!D3+'Septiembre'!D3+'Octubre'!D3+'Noviembre'!D3+'Diciembre'!D3,0)</f>
        <v>#ERROR!</v>
      </c>
      <c r="D4" s="83" t="str">
        <f>IFERROR(SUMIFS('Enero'!F6:F55,'Enero'!C6:C55,"Pareja")+SUMIFS('Febrero'!F6:F55,'Febrero'!C6:C55,"Pareja")+SUMIFS('Marzo'!F6:F55,'Marzo'!C6:C55,"Pareja")+SUMIFS('Abril'!F6:F55,'Abril'!C6:C55,"Pareja")+SUMIFS('Mayo'!F6:F55,'Mayo'!C6:C55,"Pareja")+SUMIFS('Junio'!F6:F55,'Junio'!C6:C55,"Pareja")+SUMIFS('Julio'!F6:F55,'Julio'!C6:C55,"Pareja")+SUMIFS('Agosto'!F6:F55,'Agosto'!C6:C55,"Pareja")+SUMIFS('Septiembre'!F6:F55,'Septiembre'!C6:C55,"Pareja")+SUMIFS('Octubre'!F6:F55,'Octubre'!C6:C55,"Pareja")+SUMIFS('Noviembre'!F6:F55,'Noviembre'!C6:C55,"Pareja")+SUMIFS('Diciembre'!F6:F55,'Diciembre'!C6:C55,"Pareja"),0)</f>
        <v>#ERROR!</v>
      </c>
      <c r="F4" s="84">
        <f>C4-E4</f>
        <v>0</v>
      </c>
      <c r="H4" s="85" t="str">
        <f>IFERROR(G4/C4*100,"")</f>
        <v/>
      </c>
    </row>
    <row r="5" ht="9.0" customHeight="1"/>
    <row r="6" ht="24.0" customHeight="1">
      <c r="B6" s="40" t="s">
        <v>87</v>
      </c>
      <c r="C6" s="40" t="s">
        <v>9</v>
      </c>
      <c r="D6" s="40" t="s">
        <v>10</v>
      </c>
      <c r="E6" s="40" t="s">
        <v>11</v>
      </c>
      <c r="F6" s="40" t="s">
        <v>88</v>
      </c>
      <c r="H6" s="86" t="s">
        <v>89</v>
      </c>
    </row>
    <row r="7" ht="22.5" customHeight="1">
      <c r="B7" s="87" t="s">
        <v>2</v>
      </c>
      <c r="C7" s="16" t="str">
        <f>IFERROR('Enero'!D3,0)</f>
        <v>#ERROR!</v>
      </c>
      <c r="D7" s="17" t="str">
        <f>IFERROR(SUMIFS('Enero'!F6:F55,'Enero'!C6:C55,"Pareja"),0)</f>
        <v>#ERROR!</v>
      </c>
      <c r="E7" s="18" t="str">
        <f t="shared" ref="E7:E19" si="1">C7-D7</f>
        <v>#ERROR!</v>
      </c>
      <c r="F7" s="88" t="str">
        <f t="shared" ref="F7:F19" si="2">IFERROR(E7/C7*100,"")</f>
        <v/>
      </c>
      <c r="H7" s="22" t="s">
        <v>17</v>
      </c>
      <c r="I7" s="22" t="s">
        <v>90</v>
      </c>
    </row>
    <row r="8" ht="22.5" customHeight="1">
      <c r="B8" s="29" t="s">
        <v>91</v>
      </c>
      <c r="C8" s="16" t="str">
        <f>IFERROR('Febrero'!D3,0)</f>
        <v>#ERROR!</v>
      </c>
      <c r="D8" s="17" t="str">
        <f>IFERROR(SUMIFS('Febrero'!F6:F55,'Febrero'!C6:C55,"Pareja"),0)</f>
        <v>#ERROR!</v>
      </c>
      <c r="E8" s="18" t="str">
        <f t="shared" si="1"/>
        <v>#ERROR!</v>
      </c>
      <c r="F8" s="31" t="str">
        <f t="shared" si="2"/>
        <v/>
      </c>
      <c r="H8" s="24" t="s">
        <v>21</v>
      </c>
      <c r="I8" s="25" t="str">
        <f>IFERROR(SUMIFS('Enero'!F6:F55,'Enero'!C6:C55,"Pareja",'Enero'!E6:E55,"Alimentación")+SUMIFS('Febrero'!F6:F55,'Febrero'!C6:C55,"Pareja",'Febrero'!E6:E55,"Alimentación")+SUMIFS('Marzo'!F6:F55,'Marzo'!C6:C55,"Pareja",'Marzo'!E6:E55,"Alimentación")+SUMIFS('Abril'!F6:F55,'Abril'!C6:C55,"Pareja",'Abril'!E6:E55,"Alimentación")+SUMIFS('Mayo'!F6:F55,'Mayo'!C6:C55,"Pareja",'Mayo'!E6:E55,"Alimentación")+SUMIFS('Junio'!F6:F55,'Junio'!C6:C55,"Pareja",'Junio'!E6:E55,"Alimentación")+SUMIFS('Julio'!F6:F55,'Julio'!C6:C55,"Pareja",'Julio'!E6:E55,"Alimentación")+SUMIFS('Agosto'!F6:F55,'Agosto'!C6:C55,"Pareja",'Agosto'!E6:E55,"Alimentación")+SUMIFS('Septiembre'!F6:F55,'Septiembre'!C6:C55,"Pareja",'Septiembre'!E6:E55,"Alimentación")+SUMIFS('Octubre'!F6:F55,'Octubre'!C6:C55,"Pareja",'Octubre'!E6:E55,"Alimentación")+SUMIFS('Noviembre'!F6:F55,'Noviembre'!C6:C55,"Pareja",'Noviembre'!E6:E55,"Alimentación")+SUMIFS('Diciembre'!F6:F55,'Diciembre'!C6:C55,"Pareja",'Diciembre'!E6:E55,"Alimentación"),0)</f>
        <v>#ERROR!</v>
      </c>
    </row>
    <row r="9" ht="22.5" customHeight="1">
      <c r="B9" s="87" t="s">
        <v>92</v>
      </c>
      <c r="C9" s="16" t="str">
        <f>IFERROR('Marzo'!D3,0)</f>
        <v>#ERROR!</v>
      </c>
      <c r="D9" s="17" t="str">
        <f>IFERROR(SUMIFS('Marzo'!F6:F55,'Marzo'!C6:C55,"Pareja"),0)</f>
        <v>#ERROR!</v>
      </c>
      <c r="E9" s="18" t="str">
        <f t="shared" si="1"/>
        <v>#ERROR!</v>
      </c>
      <c r="F9" s="88" t="str">
        <f t="shared" si="2"/>
        <v/>
      </c>
      <c r="H9" s="89" t="s">
        <v>23</v>
      </c>
      <c r="I9" s="90" t="str">
        <f>IFERROR(SUMIFS('Enero'!F6:F55,'Enero'!C6:C55,"Pareja",'Enero'!E6:E55,"Transporte")+SUMIFS('Febrero'!F6:F55,'Febrero'!C6:C55,"Pareja",'Febrero'!E6:E55,"Transporte")+SUMIFS('Marzo'!F6:F55,'Marzo'!C6:C55,"Pareja",'Marzo'!E6:E55,"Transporte")+SUMIFS('Abril'!F6:F55,'Abril'!C6:C55,"Pareja",'Abril'!E6:E55,"Transporte")+SUMIFS('Mayo'!F6:F55,'Mayo'!C6:C55,"Pareja",'Mayo'!E6:E55,"Transporte")+SUMIFS('Junio'!F6:F55,'Junio'!C6:C55,"Pareja",'Junio'!E6:E55,"Transporte")+SUMIFS('Julio'!F6:F55,'Julio'!C6:C55,"Pareja",'Julio'!E6:E55,"Transporte")+SUMIFS('Agosto'!F6:F55,'Agosto'!C6:C55,"Pareja",'Agosto'!E6:E55,"Transporte")+SUMIFS('Septiembre'!F6:F55,'Septiembre'!C6:C55,"Pareja",'Septiembre'!E6:E55,"Transporte")+SUMIFS('Octubre'!F6:F55,'Octubre'!C6:C55,"Pareja",'Octubre'!E6:E55,"Transporte")+SUMIFS('Noviembre'!F6:F55,'Noviembre'!C6:C55,"Pareja",'Noviembre'!E6:E55,"Transporte")+SUMIFS('Diciembre'!F6:F55,'Diciembre'!C6:C55,"Pareja",'Diciembre'!E6:E55,"Transporte"),0)</f>
        <v>#ERROR!</v>
      </c>
    </row>
    <row r="10" ht="22.5" customHeight="1">
      <c r="B10" s="29" t="s">
        <v>93</v>
      </c>
      <c r="C10" s="16" t="str">
        <f>IFERROR('Abril'!D3,0)</f>
        <v>#ERROR!</v>
      </c>
      <c r="D10" s="17" t="str">
        <f>IFERROR(SUMIFS('Abril'!F6:F55,'Abril'!C6:C55,"Pareja"),0)</f>
        <v>#ERROR!</v>
      </c>
      <c r="E10" s="18" t="str">
        <f t="shared" si="1"/>
        <v>#ERROR!</v>
      </c>
      <c r="F10" s="31" t="str">
        <f t="shared" si="2"/>
        <v/>
      </c>
      <c r="H10" s="24" t="s">
        <v>25</v>
      </c>
      <c r="I10" s="25" t="str">
        <f>IFERROR(SUMIFS('Enero'!F6:F55,'Enero'!C6:C55,"Pareja",'Enero'!E6:E55,"Vivienda")+SUMIFS('Febrero'!F6:F55,'Febrero'!C6:C55,"Pareja",'Febrero'!E6:E55,"Vivienda")+SUMIFS('Marzo'!F6:F55,'Marzo'!C6:C55,"Pareja",'Marzo'!E6:E55,"Vivienda")+SUMIFS('Abril'!F6:F55,'Abril'!C6:C55,"Pareja",'Abril'!E6:E55,"Vivienda")+SUMIFS('Mayo'!F6:F55,'Mayo'!C6:C55,"Pareja",'Mayo'!E6:E55,"Vivienda")+SUMIFS('Junio'!F6:F55,'Junio'!C6:C55,"Pareja",'Junio'!E6:E55,"Vivienda")+SUMIFS('Julio'!F6:F55,'Julio'!C6:C55,"Pareja",'Julio'!E6:E55,"Vivienda")+SUMIFS('Agosto'!F6:F55,'Agosto'!C6:C55,"Pareja",'Agosto'!E6:E55,"Vivienda")+SUMIFS('Septiembre'!F6:F55,'Septiembre'!C6:C55,"Pareja",'Septiembre'!E6:E55,"Vivienda")+SUMIFS('Octubre'!F6:F55,'Octubre'!C6:C55,"Pareja",'Octubre'!E6:E55,"Vivienda")+SUMIFS('Noviembre'!F6:F55,'Noviembre'!C6:C55,"Pareja",'Noviembre'!E6:E55,"Vivienda")+SUMIFS('Diciembre'!F6:F55,'Diciembre'!C6:C55,"Pareja",'Diciembre'!E6:E55,"Vivienda"),0)</f>
        <v>#ERROR!</v>
      </c>
    </row>
    <row r="11" ht="22.5" customHeight="1">
      <c r="B11" s="87" t="s">
        <v>94</v>
      </c>
      <c r="C11" s="16" t="str">
        <f>IFERROR('Mayo'!D3,0)</f>
        <v>#ERROR!</v>
      </c>
      <c r="D11" s="17" t="str">
        <f>IFERROR(SUMIFS('Mayo'!F6:F55,'Mayo'!C6:C55,"Pareja"),0)</f>
        <v>#ERROR!</v>
      </c>
      <c r="E11" s="18" t="str">
        <f t="shared" si="1"/>
        <v>#ERROR!</v>
      </c>
      <c r="F11" s="88" t="str">
        <f t="shared" si="2"/>
        <v/>
      </c>
      <c r="H11" s="89" t="s">
        <v>27</v>
      </c>
      <c r="I11" s="90" t="str">
        <f>IFERROR(SUMIFS('Enero'!F6:F55,'Enero'!C6:C55,"Pareja",'Enero'!E6:E55,"Salud")+SUMIFS('Febrero'!F6:F55,'Febrero'!C6:C55,"Pareja",'Febrero'!E6:E55,"Salud")+SUMIFS('Marzo'!F6:F55,'Marzo'!C6:C55,"Pareja",'Marzo'!E6:E55,"Salud")+SUMIFS('Abril'!F6:F55,'Abril'!C6:C55,"Pareja",'Abril'!E6:E55,"Salud")+SUMIFS('Mayo'!F6:F55,'Mayo'!C6:C55,"Pareja",'Mayo'!E6:E55,"Salud")+SUMIFS('Junio'!F6:F55,'Junio'!C6:C55,"Pareja",'Junio'!E6:E55,"Salud")+SUMIFS('Julio'!F6:F55,'Julio'!C6:C55,"Pareja",'Julio'!E6:E55,"Salud")+SUMIFS('Agosto'!F6:F55,'Agosto'!C6:C55,"Pareja",'Agosto'!E6:E55,"Salud")+SUMIFS('Septiembre'!F6:F55,'Septiembre'!C6:C55,"Pareja",'Septiembre'!E6:E55,"Salud")+SUMIFS('Octubre'!F6:F55,'Octubre'!C6:C55,"Pareja",'Octubre'!E6:E55,"Salud")+SUMIFS('Noviembre'!F6:F55,'Noviembre'!C6:C55,"Pareja",'Noviembre'!E6:E55,"Salud")+SUMIFS('Diciembre'!F6:F55,'Diciembre'!C6:C55,"Pareja",'Diciembre'!E6:E55,"Salud"),0)</f>
        <v>#ERROR!</v>
      </c>
    </row>
    <row r="12" ht="22.5" customHeight="1">
      <c r="B12" s="29" t="s">
        <v>95</v>
      </c>
      <c r="C12" s="16" t="str">
        <f>IFERROR('Junio'!D3,0)</f>
        <v>#ERROR!</v>
      </c>
      <c r="D12" s="17" t="str">
        <f>IFERROR(SUMIFS('Junio'!F6:F55,'Junio'!C6:C55,"Pareja"),0)</f>
        <v>#ERROR!</v>
      </c>
      <c r="E12" s="18" t="str">
        <f t="shared" si="1"/>
        <v>#ERROR!</v>
      </c>
      <c r="F12" s="31" t="str">
        <f t="shared" si="2"/>
        <v/>
      </c>
      <c r="H12" s="24" t="s">
        <v>29</v>
      </c>
      <c r="I12" s="25" t="str">
        <f>IFERROR(SUMIFS('Enero'!F6:F55,'Enero'!C6:C55,"Pareja",'Enero'!E6:E55,"Educación")+SUMIFS('Febrero'!F6:F55,'Febrero'!C6:C55,"Pareja",'Febrero'!E6:E55,"Educación")+SUMIFS('Marzo'!F6:F55,'Marzo'!C6:C55,"Pareja",'Marzo'!E6:E55,"Educación")+SUMIFS('Abril'!F6:F55,'Abril'!C6:C55,"Pareja",'Abril'!E6:E55,"Educación")+SUMIFS('Mayo'!F6:F55,'Mayo'!C6:C55,"Pareja",'Mayo'!E6:E55,"Educación")+SUMIFS('Junio'!F6:F55,'Junio'!C6:C55,"Pareja",'Junio'!E6:E55,"Educación")+SUMIFS('Julio'!F6:F55,'Julio'!C6:C55,"Pareja",'Julio'!E6:E55,"Educación")+SUMIFS('Agosto'!F6:F55,'Agosto'!C6:C55,"Pareja",'Agosto'!E6:E55,"Educación")+SUMIFS('Septiembre'!F6:F55,'Septiembre'!C6:C55,"Pareja",'Septiembre'!E6:E55,"Educación")+SUMIFS('Octubre'!F6:F55,'Octubre'!C6:C55,"Pareja",'Octubre'!E6:E55,"Educación")+SUMIFS('Noviembre'!F6:F55,'Noviembre'!C6:C55,"Pareja",'Noviembre'!E6:E55,"Educación")+SUMIFS('Diciembre'!F6:F55,'Diciembre'!C6:C55,"Pareja",'Diciembre'!E6:E55,"Educación"),0)</f>
        <v>#ERROR!</v>
      </c>
    </row>
    <row r="13" ht="22.5" customHeight="1">
      <c r="B13" s="87" t="s">
        <v>96</v>
      </c>
      <c r="C13" s="16" t="str">
        <f>IFERROR('Julio'!D3,0)</f>
        <v>#ERROR!</v>
      </c>
      <c r="D13" s="17" t="str">
        <f>IFERROR(SUMIFS('Julio'!F6:F55,'Julio'!C6:C55,"Pareja"),0)</f>
        <v>#ERROR!</v>
      </c>
      <c r="E13" s="18" t="str">
        <f t="shared" si="1"/>
        <v>#ERROR!</v>
      </c>
      <c r="F13" s="88" t="str">
        <f t="shared" si="2"/>
        <v/>
      </c>
      <c r="H13" s="89" t="s">
        <v>30</v>
      </c>
      <c r="I13" s="90" t="str">
        <f>IFERROR(SUMIFS('Enero'!F6:F55,'Enero'!C6:C55,"Pareja",'Enero'!E6:E55,"Entretenimiento")+SUMIFS('Febrero'!F6:F55,'Febrero'!C6:C55,"Pareja",'Febrero'!E6:E55,"Entretenimiento")+SUMIFS('Marzo'!F6:F55,'Marzo'!C6:C55,"Pareja",'Marzo'!E6:E55,"Entretenimiento")+SUMIFS('Abril'!F6:F55,'Abril'!C6:C55,"Pareja",'Abril'!E6:E55,"Entretenimiento")+SUMIFS('Mayo'!F6:F55,'Mayo'!C6:C55,"Pareja",'Mayo'!E6:E55,"Entretenimiento")+SUMIFS('Junio'!F6:F55,'Junio'!C6:C55,"Pareja",'Junio'!E6:E55,"Entretenimiento")+SUMIFS('Julio'!F6:F55,'Julio'!C6:C55,"Pareja",'Julio'!E6:E55,"Entretenimiento")+SUMIFS('Agosto'!F6:F55,'Agosto'!C6:C55,"Pareja",'Agosto'!E6:E55,"Entretenimiento")+SUMIFS('Septiembre'!F6:F55,'Septiembre'!C6:C55,"Pareja",'Septiembre'!E6:E55,"Entretenimiento")+SUMIFS('Octubre'!F6:F55,'Octubre'!C6:C55,"Pareja",'Octubre'!E6:E55,"Entretenimiento")+SUMIFS('Noviembre'!F6:F55,'Noviembre'!C6:C55,"Pareja",'Noviembre'!E6:E55,"Entretenimiento")+SUMIFS('Diciembre'!F6:F55,'Diciembre'!C6:C55,"Pareja",'Diciembre'!E6:E55,"Entretenimiento"),0)</f>
        <v>#ERROR!</v>
      </c>
    </row>
    <row r="14" ht="22.5" customHeight="1">
      <c r="B14" s="29" t="s">
        <v>97</v>
      </c>
      <c r="C14" s="16" t="str">
        <f>IFERROR('Agosto'!D3,0)</f>
        <v>#ERROR!</v>
      </c>
      <c r="D14" s="17" t="str">
        <f>IFERROR(SUMIFS('Agosto'!F6:F55,'Agosto'!C6:C55,"Pareja"),0)</f>
        <v>#ERROR!</v>
      </c>
      <c r="E14" s="18" t="str">
        <f t="shared" si="1"/>
        <v>#ERROR!</v>
      </c>
      <c r="F14" s="31" t="str">
        <f t="shared" si="2"/>
        <v/>
      </c>
      <c r="H14" s="24" t="s">
        <v>31</v>
      </c>
      <c r="I14" s="25" t="str">
        <f>IFERROR(SUMIFS('Enero'!F6:F55,'Enero'!C6:C55,"Pareja",'Enero'!E6:E55,"Ropa")+SUMIFS('Febrero'!F6:F55,'Febrero'!C6:C55,"Pareja",'Febrero'!E6:E55,"Ropa")+SUMIFS('Marzo'!F6:F55,'Marzo'!C6:C55,"Pareja",'Marzo'!E6:E55,"Ropa")+SUMIFS('Abril'!F6:F55,'Abril'!C6:C55,"Pareja",'Abril'!E6:E55,"Ropa")+SUMIFS('Mayo'!F6:F55,'Mayo'!C6:C55,"Pareja",'Mayo'!E6:E55,"Ropa")+SUMIFS('Junio'!F6:F55,'Junio'!C6:C55,"Pareja",'Junio'!E6:E55,"Ropa")+SUMIFS('Julio'!F6:F55,'Julio'!C6:C55,"Pareja",'Julio'!E6:E55,"Ropa")+SUMIFS('Agosto'!F6:F55,'Agosto'!C6:C55,"Pareja",'Agosto'!E6:E55,"Ropa")+SUMIFS('Septiembre'!F6:F55,'Septiembre'!C6:C55,"Pareja",'Septiembre'!E6:E55,"Ropa")+SUMIFS('Octubre'!F6:F55,'Octubre'!C6:C55,"Pareja",'Octubre'!E6:E55,"Ropa")+SUMIFS('Noviembre'!F6:F55,'Noviembre'!C6:C55,"Pareja",'Noviembre'!E6:E55,"Ropa")+SUMIFS('Diciembre'!F6:F55,'Diciembre'!C6:C55,"Pareja",'Diciembre'!E6:E55,"Ropa"),0)</f>
        <v>#ERROR!</v>
      </c>
    </row>
    <row r="15" ht="22.5" customHeight="1">
      <c r="B15" s="87" t="s">
        <v>98</v>
      </c>
      <c r="C15" s="16" t="str">
        <f>IFERROR('Septiembre'!D3,0)</f>
        <v>#ERROR!</v>
      </c>
      <c r="D15" s="17" t="str">
        <f>IFERROR(SUMIFS('Septiembre'!F6:F55,'Septiembre'!C6:C55,"Pareja"),0)</f>
        <v>#ERROR!</v>
      </c>
      <c r="E15" s="18" t="str">
        <f t="shared" si="1"/>
        <v>#ERROR!</v>
      </c>
      <c r="F15" s="88" t="str">
        <f t="shared" si="2"/>
        <v/>
      </c>
      <c r="H15" s="89" t="s">
        <v>32</v>
      </c>
      <c r="I15" s="90" t="str">
        <f>IFERROR(SUMIFS('Enero'!F6:F55,'Enero'!C6:C55,"Pareja",'Enero'!E6:E55,"Servicios")+SUMIFS('Febrero'!F6:F55,'Febrero'!C6:C55,"Pareja",'Febrero'!E6:E55,"Servicios")+SUMIFS('Marzo'!F6:F55,'Marzo'!C6:C55,"Pareja",'Marzo'!E6:E55,"Servicios")+SUMIFS('Abril'!F6:F55,'Abril'!C6:C55,"Pareja",'Abril'!E6:E55,"Servicios")+SUMIFS('Mayo'!F6:F55,'Mayo'!C6:C55,"Pareja",'Mayo'!E6:E55,"Servicios")+SUMIFS('Junio'!F6:F55,'Junio'!C6:C55,"Pareja",'Junio'!E6:E55,"Servicios")+SUMIFS('Julio'!F6:F55,'Julio'!C6:C55,"Pareja",'Julio'!E6:E55,"Servicios")+SUMIFS('Agosto'!F6:F55,'Agosto'!C6:C55,"Pareja",'Agosto'!E6:E55,"Servicios")+SUMIFS('Septiembre'!F6:F55,'Septiembre'!C6:C55,"Pareja",'Septiembre'!E6:E55,"Servicios")+SUMIFS('Octubre'!F6:F55,'Octubre'!C6:C55,"Pareja",'Octubre'!E6:E55,"Servicios")+SUMIFS('Noviembre'!F6:F55,'Noviembre'!C6:C55,"Pareja",'Noviembre'!E6:E55,"Servicios")+SUMIFS('Diciembre'!F6:F55,'Diciembre'!C6:C55,"Pareja",'Diciembre'!E6:E55,"Servicios"),0)</f>
        <v>#ERROR!</v>
      </c>
    </row>
    <row r="16" ht="22.5" customHeight="1">
      <c r="B16" s="29" t="s">
        <v>99</v>
      </c>
      <c r="C16" s="16" t="str">
        <f>IFERROR('Octubre'!D3,0)</f>
        <v>#ERROR!</v>
      </c>
      <c r="D16" s="17" t="str">
        <f>IFERROR(SUMIFS('Octubre'!F6:F55,'Octubre'!C6:C55,"Pareja"),0)</f>
        <v>#ERROR!</v>
      </c>
      <c r="E16" s="18" t="str">
        <f t="shared" si="1"/>
        <v>#ERROR!</v>
      </c>
      <c r="F16" s="31" t="str">
        <f t="shared" si="2"/>
        <v/>
      </c>
      <c r="H16" s="24" t="s">
        <v>33</v>
      </c>
      <c r="I16" s="25" t="str">
        <f>IFERROR(SUMIFS('Enero'!F6:F55,'Enero'!C6:C55,"Pareja",'Enero'!E6:E55,"Ahorro")+SUMIFS('Febrero'!F6:F55,'Febrero'!C6:C55,"Pareja",'Febrero'!E6:E55,"Ahorro")+SUMIFS('Marzo'!F6:F55,'Marzo'!C6:C55,"Pareja",'Marzo'!E6:E55,"Ahorro")+SUMIFS('Abril'!F6:F55,'Abril'!C6:C55,"Pareja",'Abril'!E6:E55,"Ahorro")+SUMIFS('Mayo'!F6:F55,'Mayo'!C6:C55,"Pareja",'Mayo'!E6:E55,"Ahorro")+SUMIFS('Junio'!F6:F55,'Junio'!C6:C55,"Pareja",'Junio'!E6:E55,"Ahorro")+SUMIFS('Julio'!F6:F55,'Julio'!C6:C55,"Pareja",'Julio'!E6:E55,"Ahorro")+SUMIFS('Agosto'!F6:F55,'Agosto'!C6:C55,"Pareja",'Agosto'!E6:E55,"Ahorro")+SUMIFS('Septiembre'!F6:F55,'Septiembre'!C6:C55,"Pareja",'Septiembre'!E6:E55,"Ahorro")+SUMIFS('Octubre'!F6:F55,'Octubre'!C6:C55,"Pareja",'Octubre'!E6:E55,"Ahorro")+SUMIFS('Noviembre'!F6:F55,'Noviembre'!C6:C55,"Pareja",'Noviembre'!E6:E55,"Ahorro")+SUMIFS('Diciembre'!F6:F55,'Diciembre'!C6:C55,"Pareja",'Diciembre'!E6:E55,"Ahorro"),0)</f>
        <v>#ERROR!</v>
      </c>
    </row>
    <row r="17" ht="22.5" customHeight="1">
      <c r="B17" s="87" t="s">
        <v>100</v>
      </c>
      <c r="C17" s="16" t="str">
        <f>IFERROR('Noviembre'!D3,0)</f>
        <v>#ERROR!</v>
      </c>
      <c r="D17" s="17" t="str">
        <f>IFERROR(SUMIFS('Noviembre'!F6:F55,'Noviembre'!C6:C55,"Pareja"),0)</f>
        <v>#ERROR!</v>
      </c>
      <c r="E17" s="18" t="str">
        <f t="shared" si="1"/>
        <v>#ERROR!</v>
      </c>
      <c r="F17" s="88" t="str">
        <f t="shared" si="2"/>
        <v/>
      </c>
      <c r="H17" s="89" t="s">
        <v>34</v>
      </c>
      <c r="I17" s="90" t="str">
        <f>IFERROR(SUMIFS('Enero'!F6:F55,'Enero'!C6:C55,"Pareja",'Enero'!E6:E55,"Otros")+SUMIFS('Febrero'!F6:F55,'Febrero'!C6:C55,"Pareja",'Febrero'!E6:E55,"Otros")+SUMIFS('Marzo'!F6:F55,'Marzo'!C6:C55,"Pareja",'Marzo'!E6:E55,"Otros")+SUMIFS('Abril'!F6:F55,'Abril'!C6:C55,"Pareja",'Abril'!E6:E55,"Otros")+SUMIFS('Mayo'!F6:F55,'Mayo'!C6:C55,"Pareja",'Mayo'!E6:E55,"Otros")+SUMIFS('Junio'!F6:F55,'Junio'!C6:C55,"Pareja",'Junio'!E6:E55,"Otros")+SUMIFS('Julio'!F6:F55,'Julio'!C6:C55,"Pareja",'Julio'!E6:E55,"Otros")+SUMIFS('Agosto'!F6:F55,'Agosto'!C6:C55,"Pareja",'Agosto'!E6:E55,"Otros")+SUMIFS('Septiembre'!F6:F55,'Septiembre'!C6:C55,"Pareja",'Septiembre'!E6:E55,"Otros")+SUMIFS('Octubre'!F6:F55,'Octubre'!C6:C55,"Pareja",'Octubre'!E6:E55,"Otros")+SUMIFS('Noviembre'!F6:F55,'Noviembre'!C6:C55,"Pareja",'Noviembre'!E6:E55,"Otros")+SUMIFS('Diciembre'!F6:F55,'Diciembre'!C6:C55,"Pareja",'Diciembre'!E6:E55,"Otros"),0)</f>
        <v>#ERROR!</v>
      </c>
    </row>
    <row r="18" ht="22.5" customHeight="1">
      <c r="B18" s="29" t="s">
        <v>101</v>
      </c>
      <c r="C18" s="16" t="str">
        <f>IFERROR('Diciembre'!D3,0)</f>
        <v>#ERROR!</v>
      </c>
      <c r="D18" s="17" t="str">
        <f>IFERROR(SUMIFS('Diciembre'!F6:F55,'Diciembre'!C6:C55,"Pareja"),0)</f>
        <v>#ERROR!</v>
      </c>
      <c r="E18" s="18" t="str">
        <f t="shared" si="1"/>
        <v>#ERROR!</v>
      </c>
      <c r="F18" s="31" t="str">
        <f t="shared" si="2"/>
        <v/>
      </c>
    </row>
    <row r="19" ht="28.5" customHeight="1">
      <c r="B19" s="39" t="s">
        <v>49</v>
      </c>
      <c r="C19" s="91" t="str">
        <f t="shared" ref="C19:D19" si="3">SUM(C7:C18)</f>
        <v>#ERROR!</v>
      </c>
      <c r="D19" s="92" t="str">
        <f t="shared" si="3"/>
        <v>#ERROR!</v>
      </c>
      <c r="E19" s="93" t="str">
        <f t="shared" si="1"/>
        <v>#ERROR!</v>
      </c>
      <c r="F19" s="94" t="str">
        <f t="shared" si="2"/>
        <v/>
      </c>
    </row>
    <row r="20" ht="11.25" customHeight="1"/>
  </sheetData>
  <mergeCells count="10">
    <mergeCell ref="F4:G4"/>
    <mergeCell ref="H4:I4"/>
    <mergeCell ref="H6:I6"/>
    <mergeCell ref="B1:J1"/>
    <mergeCell ref="B3:C3"/>
    <mergeCell ref="D3:E3"/>
    <mergeCell ref="F3:G3"/>
    <mergeCell ref="H3:I3"/>
    <mergeCell ref="B4:C4"/>
    <mergeCell ref="D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103</v>
      </c>
    </row>
    <row r="2" ht="22.5" customHeight="1">
      <c r="B2" s="96" t="s">
        <v>3</v>
      </c>
      <c r="C2" s="97" t="s">
        <v>13</v>
      </c>
      <c r="D2" s="97" t="s">
        <v>14</v>
      </c>
      <c r="E2" s="97" t="s">
        <v>104</v>
      </c>
    </row>
    <row r="3" ht="26.25" customHeight="1">
      <c r="C3" s="16"/>
      <c r="D3" s="98"/>
      <c r="E3" s="44"/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87"/>
      <c r="D6" s="101"/>
      <c r="E6" s="87"/>
      <c r="F6" s="102"/>
      <c r="G6" s="87"/>
      <c r="H6" s="103"/>
      <c r="I6" s="87"/>
      <c r="J6" s="104"/>
    </row>
    <row r="7">
      <c r="B7" s="100" t="str">
        <f>IF(C7&lt;&gt;"",ROW()-5,"")</f>
        <v>#ERROR!</v>
      </c>
      <c r="C7" s="29"/>
      <c r="D7" s="101"/>
      <c r="E7" s="29"/>
      <c r="F7" s="105"/>
      <c r="G7" s="29"/>
      <c r="H7" s="106"/>
      <c r="I7" s="29"/>
      <c r="J7" s="107"/>
    </row>
    <row r="8">
      <c r="B8" s="100" t="str">
        <f>IF(C8&lt;&gt;"",ROW()-5,"")</f>
        <v>#ERROR!</v>
      </c>
      <c r="C8" s="87"/>
      <c r="D8" s="101"/>
      <c r="E8" s="87"/>
      <c r="F8" s="102"/>
      <c r="G8" s="87"/>
      <c r="H8" s="103"/>
      <c r="I8" s="87"/>
      <c r="J8" s="104"/>
    </row>
    <row r="9">
      <c r="B9" s="100" t="str">
        <f>IF(C9&lt;&gt;"",ROW()-5,"")</f>
        <v>#ERROR!</v>
      </c>
      <c r="C9" s="29"/>
      <c r="D9" s="101"/>
      <c r="E9" s="29"/>
      <c r="F9" s="105"/>
      <c r="G9" s="29"/>
      <c r="H9" s="106"/>
      <c r="I9" s="29"/>
      <c r="J9" s="107"/>
    </row>
    <row r="10">
      <c r="B10" s="100" t="str">
        <f>IF(C10&lt;&gt;"",ROW()-5,"")</f>
        <v>#ERROR!</v>
      </c>
      <c r="C10" s="87"/>
      <c r="D10" s="101"/>
      <c r="E10" s="87"/>
      <c r="F10" s="102"/>
      <c r="G10" s="87"/>
      <c r="H10" s="103"/>
      <c r="I10" s="87"/>
      <c r="J10" s="104"/>
    </row>
    <row r="11">
      <c r="B11" s="100" t="str">
        <f>IF(C11&lt;&gt;"",ROW()-5,"")</f>
        <v>#ERROR!</v>
      </c>
      <c r="C11" s="29"/>
      <c r="D11" s="101"/>
      <c r="E11" s="29"/>
      <c r="F11" s="105"/>
      <c r="G11" s="29"/>
      <c r="H11" s="106"/>
      <c r="I11" s="29"/>
      <c r="J11" s="107"/>
    </row>
    <row r="12">
      <c r="B12" s="100" t="str">
        <f>IF(C12&lt;&gt;"",ROW()-5,"")</f>
        <v>#ERROR!</v>
      </c>
      <c r="C12" s="87"/>
      <c r="D12" s="101"/>
      <c r="E12" s="87"/>
      <c r="F12" s="102"/>
      <c r="G12" s="87"/>
      <c r="H12" s="103"/>
      <c r="I12" s="87"/>
      <c r="J12" s="104"/>
    </row>
    <row r="13">
      <c r="B13" s="100" t="str">
        <f>IF(C13&lt;&gt;"",ROW()-5,"")</f>
        <v>#ERROR!</v>
      </c>
      <c r="C13" s="29"/>
      <c r="D13" s="101"/>
      <c r="E13" s="29"/>
      <c r="F13" s="105"/>
      <c r="G13" s="29"/>
      <c r="H13" s="106"/>
      <c r="I13" s="29"/>
      <c r="J13" s="107"/>
    </row>
    <row r="14">
      <c r="B14" s="100" t="str">
        <f>IF(C14&lt;&gt;"",ROW()-5,"")</f>
        <v>#ERROR!</v>
      </c>
      <c r="C14" s="87"/>
      <c r="D14" s="101"/>
      <c r="E14" s="29"/>
      <c r="F14" s="102"/>
      <c r="G14" s="29"/>
      <c r="H14" s="103"/>
      <c r="I14" s="29"/>
      <c r="J14" s="104"/>
    </row>
    <row r="15">
      <c r="B15" s="100" t="str">
        <f>IF(C15&lt;&gt;"",ROW()-5,"")</f>
        <v>#ERROR!</v>
      </c>
      <c r="C15" s="87"/>
      <c r="D15" s="101"/>
      <c r="E15" s="29"/>
      <c r="F15" s="105"/>
      <c r="G15" s="29"/>
      <c r="H15" s="106"/>
      <c r="I15" s="29"/>
      <c r="J15" s="107"/>
    </row>
    <row r="16">
      <c r="B16" s="100" t="str">
        <f>IF(C16&lt;&gt;"",ROW()-5,"")</f>
        <v>#ERROR!</v>
      </c>
      <c r="C16" s="87"/>
      <c r="D16" s="101"/>
      <c r="E16" s="87"/>
      <c r="F16" s="102"/>
      <c r="G16" s="87"/>
      <c r="H16" s="103"/>
      <c r="I16" s="87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 t="str">
        <f>E3</f>
        <v/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I6:I55">
      <formula1>"Fijo,Variable,Extraordinario"</formula1>
    </dataValidation>
    <dataValidation type="list" allowBlank="1" showErrorMessage="1" sqref="C6:C55">
      <formula1>"MAURO,DAIANA"</formula1>
    </dataValidation>
    <dataValidation type="list" allowBlank="1" showErrorMessage="1" sqref="G6:G55">
      <formula1>"Efectivo,Tarjeta Débito,Tarjeta Crédito,Transferencia"</formula1>
    </dataValidation>
    <dataValidation type="list" allowBlank="1" showErrorMessage="1" sqref="E6:E55">
      <formula1>"Alimentación,Transporte,Vivienda,Salud,Educación,Entretenimiento,Ropa,Servicios,Ahorro,Otros"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116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117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98">
        <v>10000.0</v>
      </c>
      <c r="D3" s="16"/>
      <c r="E3" s="44">
        <f>C3+D3</f>
        <v>10000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10000</v>
      </c>
      <c r="D61" s="119">
        <f>SUM(F6:F55)</f>
        <v>0</v>
      </c>
      <c r="F61" s="120">
        <f>E3-SUM(F6:F55)</f>
        <v>10000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>
        <f>C3</f>
        <v>10000</v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118</v>
      </c>
    </row>
    <row r="2" ht="22.5" customHeight="1">
      <c r="B2" s="96" t="s">
        <v>3</v>
      </c>
      <c r="C2" s="97" t="s">
        <v>119</v>
      </c>
      <c r="D2" s="97" t="s">
        <v>120</v>
      </c>
      <c r="E2" s="97" t="s">
        <v>104</v>
      </c>
    </row>
    <row r="3" ht="26.25" customHeight="1">
      <c r="C3" s="16"/>
      <c r="D3" s="125">
        <v>6000000.0</v>
      </c>
      <c r="E3" s="126">
        <f>C3+D3</f>
        <v>6000000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27" t="s">
        <v>14</v>
      </c>
      <c r="D6" s="128">
        <v>46123.0</v>
      </c>
      <c r="E6" s="129" t="s">
        <v>25</v>
      </c>
      <c r="F6" s="130">
        <v>1200000.0</v>
      </c>
      <c r="G6" s="129" t="s">
        <v>22</v>
      </c>
      <c r="H6" s="131" t="s">
        <v>121</v>
      </c>
      <c r="I6" s="129" t="s">
        <v>122</v>
      </c>
      <c r="J6" s="104"/>
    </row>
    <row r="7">
      <c r="B7" s="100" t="str">
        <f>IF(C7&lt;&gt;"",ROW()-5,"")</f>
        <v>#ERROR!</v>
      </c>
      <c r="C7" s="127" t="s">
        <v>14</v>
      </c>
      <c r="D7" s="128">
        <v>46118.0</v>
      </c>
      <c r="E7" s="132" t="s">
        <v>34</v>
      </c>
      <c r="F7" s="133">
        <v>685000.0</v>
      </c>
      <c r="G7" s="132" t="s">
        <v>28</v>
      </c>
      <c r="H7" s="134" t="s">
        <v>123</v>
      </c>
      <c r="I7" s="132" t="s">
        <v>122</v>
      </c>
      <c r="J7" s="107"/>
    </row>
    <row r="8">
      <c r="B8" s="100" t="str">
        <f>IF(C8&lt;&gt;"",ROW()-5,"")</f>
        <v>#ERROR!</v>
      </c>
      <c r="C8" s="127" t="s">
        <v>14</v>
      </c>
      <c r="D8" s="128">
        <v>46118.0</v>
      </c>
      <c r="E8" s="135" t="s">
        <v>34</v>
      </c>
      <c r="F8" s="130">
        <v>122000.0</v>
      </c>
      <c r="G8" s="129" t="s">
        <v>28</v>
      </c>
      <c r="H8" s="131" t="s">
        <v>124</v>
      </c>
      <c r="I8" s="129" t="s">
        <v>125</v>
      </c>
      <c r="J8" s="104"/>
    </row>
    <row r="9">
      <c r="B9" s="100" t="str">
        <f>IF(C9&lt;&gt;"",ROW()-5,"")</f>
        <v>#ERROR!</v>
      </c>
      <c r="C9" s="127" t="s">
        <v>14</v>
      </c>
      <c r="D9" s="128">
        <v>46118.0</v>
      </c>
      <c r="E9" s="132" t="s">
        <v>27</v>
      </c>
      <c r="F9" s="133">
        <v>540000.0</v>
      </c>
      <c r="G9" s="132" t="s">
        <v>126</v>
      </c>
      <c r="H9" s="134" t="s">
        <v>127</v>
      </c>
      <c r="I9" s="132" t="s">
        <v>122</v>
      </c>
      <c r="J9" s="107"/>
    </row>
    <row r="10">
      <c r="B10" s="100" t="str">
        <f>IF(C10&lt;&gt;"",ROW()-5,"")</f>
        <v>#ERROR!</v>
      </c>
      <c r="C10" s="127" t="s">
        <v>14</v>
      </c>
      <c r="D10" s="128">
        <v>46118.0</v>
      </c>
      <c r="E10" s="129" t="s">
        <v>34</v>
      </c>
      <c r="F10" s="130">
        <v>500000.0</v>
      </c>
      <c r="G10" s="129" t="s">
        <v>22</v>
      </c>
      <c r="H10" s="131" t="s">
        <v>128</v>
      </c>
      <c r="I10" s="129" t="s">
        <v>122</v>
      </c>
      <c r="J10" s="104"/>
    </row>
    <row r="11">
      <c r="B11" s="100" t="str">
        <f>IF(C11&lt;&gt;"",ROW()-5,"")</f>
        <v>#ERROR!</v>
      </c>
      <c r="C11" s="127" t="s">
        <v>14</v>
      </c>
      <c r="D11" s="128">
        <v>46123.0</v>
      </c>
      <c r="E11" s="132" t="s">
        <v>31</v>
      </c>
      <c r="F11" s="133">
        <v>200000.0</v>
      </c>
      <c r="G11" s="132" t="s">
        <v>22</v>
      </c>
      <c r="H11" s="134" t="s">
        <v>129</v>
      </c>
      <c r="I11" s="132" t="s">
        <v>125</v>
      </c>
      <c r="J11" s="107"/>
    </row>
    <row r="12">
      <c r="B12" s="100" t="str">
        <f>IF(C12&lt;&gt;"",ROW()-5,"")</f>
        <v>#ERROR!</v>
      </c>
      <c r="C12" s="127" t="s">
        <v>14</v>
      </c>
      <c r="D12" s="128">
        <v>46119.0</v>
      </c>
      <c r="E12" s="129" t="s">
        <v>21</v>
      </c>
      <c r="F12" s="130">
        <v>350000.0</v>
      </c>
      <c r="G12" s="129" t="s">
        <v>22</v>
      </c>
      <c r="H12" s="131" t="s">
        <v>130</v>
      </c>
      <c r="I12" s="129" t="s">
        <v>125</v>
      </c>
      <c r="J12" s="104"/>
    </row>
    <row r="13">
      <c r="B13" s="100" t="str">
        <f>IF(C13&lt;&gt;"",ROW()-5,"")</f>
        <v>#ERROR!</v>
      </c>
      <c r="C13" s="127" t="s">
        <v>14</v>
      </c>
      <c r="D13" s="128">
        <v>46140.0</v>
      </c>
      <c r="E13" s="132" t="s">
        <v>25</v>
      </c>
      <c r="F13" s="133">
        <v>300000.0</v>
      </c>
      <c r="G13" s="132" t="s">
        <v>22</v>
      </c>
      <c r="H13" s="134" t="s">
        <v>131</v>
      </c>
      <c r="I13" s="132" t="s">
        <v>122</v>
      </c>
      <c r="J13" s="107"/>
    </row>
    <row r="14">
      <c r="B14" s="100" t="str">
        <f>IF(C14&lt;&gt;"",ROW()-5,"")</f>
        <v>#ERROR!</v>
      </c>
      <c r="C14" s="127" t="s">
        <v>14</v>
      </c>
      <c r="D14" s="128">
        <v>46140.0</v>
      </c>
      <c r="E14" s="132" t="s">
        <v>25</v>
      </c>
      <c r="F14" s="130">
        <v>100000.0</v>
      </c>
      <c r="G14" s="132" t="s">
        <v>22</v>
      </c>
      <c r="H14" s="131" t="s">
        <v>132</v>
      </c>
      <c r="I14" s="132" t="s">
        <v>122</v>
      </c>
      <c r="J14" s="104"/>
    </row>
    <row r="15">
      <c r="B15" s="100" t="str">
        <f>IF(C15&lt;&gt;"",ROW()-5,"")</f>
        <v>#ERROR!</v>
      </c>
      <c r="C15" s="127" t="s">
        <v>14</v>
      </c>
      <c r="D15" s="128">
        <v>46140.0</v>
      </c>
      <c r="E15" s="132" t="s">
        <v>25</v>
      </c>
      <c r="F15" s="133">
        <v>100000.0</v>
      </c>
      <c r="G15" s="132" t="s">
        <v>22</v>
      </c>
      <c r="H15" s="134" t="s">
        <v>133</v>
      </c>
      <c r="I15" s="132" t="s">
        <v>122</v>
      </c>
      <c r="J15" s="107"/>
    </row>
    <row r="16">
      <c r="B16" s="100" t="str">
        <f>IF(C16&lt;&gt;"",ROW()-5,"")</f>
        <v>#ERROR!</v>
      </c>
      <c r="C16" s="127" t="s">
        <v>14</v>
      </c>
      <c r="D16" s="128">
        <v>46118.0</v>
      </c>
      <c r="E16" s="129" t="s">
        <v>30</v>
      </c>
      <c r="F16" s="130">
        <v>600000.0</v>
      </c>
      <c r="G16" s="129" t="s">
        <v>126</v>
      </c>
      <c r="H16" s="131" t="s">
        <v>134</v>
      </c>
      <c r="I16" s="129" t="s">
        <v>125</v>
      </c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4697000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6000000</v>
      </c>
      <c r="D61" s="119">
        <f>SUM(F6:F55)</f>
        <v>4697000</v>
      </c>
      <c r="F61" s="120">
        <f>E3-SUM(F6:F55)</f>
        <v>1303000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>
        <f>D3</f>
        <v>6000000</v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17:C55">
      <formula1>"Franco,Pareja"</formula1>
    </dataValidation>
    <dataValidation type="list" allowBlank="1" showErrorMessage="1" sqref="C6:C16">
      <formula1>"MAURO,DAIANA"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135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136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137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138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139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140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141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8D1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15.13"/>
    <col customWidth="1" min="4" max="5" width="15.75"/>
    <col customWidth="1" min="6" max="6" width="14.5"/>
    <col customWidth="1" min="7" max="7" width="16.38"/>
    <col customWidth="1" min="8" max="8" width="13.88"/>
    <col customWidth="1" min="9" max="9" width="16.38"/>
    <col customWidth="1" min="10" max="10" width="25.13"/>
  </cols>
  <sheetData>
    <row r="1" ht="33.75" customHeight="1">
      <c r="B1" s="95" t="s">
        <v>142</v>
      </c>
    </row>
    <row r="2" ht="22.5" customHeight="1">
      <c r="B2" s="96" t="s">
        <v>3</v>
      </c>
      <c r="C2" s="97" t="s">
        <v>114</v>
      </c>
      <c r="D2" s="97" t="s">
        <v>115</v>
      </c>
      <c r="E2" s="97" t="s">
        <v>104</v>
      </c>
    </row>
    <row r="3" ht="26.25" customHeight="1">
      <c r="C3" s="16"/>
      <c r="D3" s="16"/>
      <c r="E3" s="44">
        <f>C3+D3</f>
        <v>0</v>
      </c>
    </row>
    <row r="4" ht="7.5" customHeight="1"/>
    <row r="5" ht="28.5" customHeight="1">
      <c r="B5" s="99" t="s">
        <v>105</v>
      </c>
      <c r="C5" s="99" t="s">
        <v>8</v>
      </c>
      <c r="D5" s="99" t="s">
        <v>106</v>
      </c>
      <c r="E5" s="99" t="s">
        <v>17</v>
      </c>
      <c r="F5" s="99" t="s">
        <v>18</v>
      </c>
      <c r="G5" s="99" t="s">
        <v>107</v>
      </c>
      <c r="H5" s="99" t="s">
        <v>108</v>
      </c>
      <c r="I5" s="99" t="s">
        <v>109</v>
      </c>
      <c r="J5" s="99" t="s">
        <v>110</v>
      </c>
    </row>
    <row r="6">
      <c r="B6" s="100" t="str">
        <f>IF(C6&lt;&gt;"",ROW()-5,"")</f>
        <v>#ERROR!</v>
      </c>
      <c r="C6" s="111"/>
      <c r="D6" s="112"/>
      <c r="E6" s="111"/>
      <c r="F6" s="113"/>
      <c r="G6" s="111"/>
      <c r="H6" s="114"/>
      <c r="I6" s="111"/>
      <c r="J6" s="104"/>
    </row>
    <row r="7">
      <c r="B7" s="100" t="str">
        <f>IF(C7&lt;&gt;"",ROW()-5,"")</f>
        <v>#ERROR!</v>
      </c>
      <c r="C7" s="108"/>
      <c r="D7" s="109"/>
      <c r="E7" s="108"/>
      <c r="F7" s="30"/>
      <c r="G7" s="108"/>
      <c r="H7" s="110"/>
      <c r="I7" s="108"/>
      <c r="J7" s="107"/>
    </row>
    <row r="8">
      <c r="B8" s="100" t="str">
        <f>IF(C8&lt;&gt;"",ROW()-5,"")</f>
        <v>#ERROR!</v>
      </c>
      <c r="C8" s="111"/>
      <c r="D8" s="112"/>
      <c r="E8" s="111"/>
      <c r="F8" s="113"/>
      <c r="G8" s="111"/>
      <c r="H8" s="114"/>
      <c r="I8" s="111"/>
      <c r="J8" s="104"/>
    </row>
    <row r="9">
      <c r="B9" s="100" t="str">
        <f>IF(C9&lt;&gt;"",ROW()-5,"")</f>
        <v>#ERROR!</v>
      </c>
      <c r="C9" s="108"/>
      <c r="D9" s="109"/>
      <c r="E9" s="108"/>
      <c r="F9" s="30"/>
      <c r="G9" s="108"/>
      <c r="H9" s="110"/>
      <c r="I9" s="108"/>
      <c r="J9" s="107"/>
    </row>
    <row r="10">
      <c r="B10" s="100" t="str">
        <f>IF(C10&lt;&gt;"",ROW()-5,"")</f>
        <v>#ERROR!</v>
      </c>
      <c r="C10" s="111"/>
      <c r="D10" s="112"/>
      <c r="E10" s="111"/>
      <c r="F10" s="113"/>
      <c r="G10" s="111"/>
      <c r="H10" s="114"/>
      <c r="I10" s="111"/>
      <c r="J10" s="104"/>
    </row>
    <row r="11">
      <c r="B11" s="100" t="str">
        <f>IF(C11&lt;&gt;"",ROW()-5,"")</f>
        <v>#ERROR!</v>
      </c>
      <c r="C11" s="108"/>
      <c r="D11" s="109"/>
      <c r="E11" s="108"/>
      <c r="F11" s="30"/>
      <c r="G11" s="108"/>
      <c r="H11" s="110"/>
      <c r="I11" s="108"/>
      <c r="J11" s="107"/>
    </row>
    <row r="12">
      <c r="B12" s="100" t="str">
        <f>IF(C12&lt;&gt;"",ROW()-5,"")</f>
        <v>#ERROR!</v>
      </c>
      <c r="C12" s="111"/>
      <c r="D12" s="112"/>
      <c r="E12" s="111"/>
      <c r="F12" s="113"/>
      <c r="G12" s="111"/>
      <c r="H12" s="114"/>
      <c r="I12" s="111"/>
      <c r="J12" s="104"/>
    </row>
    <row r="13">
      <c r="B13" s="100" t="str">
        <f>IF(C13&lt;&gt;"",ROW()-5,"")</f>
        <v>#ERROR!</v>
      </c>
      <c r="C13" s="108"/>
      <c r="D13" s="109"/>
      <c r="E13" s="108"/>
      <c r="F13" s="30"/>
      <c r="G13" s="108"/>
      <c r="H13" s="110"/>
      <c r="I13" s="108"/>
      <c r="J13" s="107"/>
    </row>
    <row r="14">
      <c r="B14" s="100" t="str">
        <f>IF(C14&lt;&gt;"",ROW()-5,"")</f>
        <v>#ERROR!</v>
      </c>
      <c r="C14" s="111"/>
      <c r="D14" s="112"/>
      <c r="E14" s="111"/>
      <c r="F14" s="113"/>
      <c r="G14" s="111"/>
      <c r="H14" s="114"/>
      <c r="I14" s="111"/>
      <c r="J14" s="104"/>
    </row>
    <row r="15">
      <c r="B15" s="100" t="str">
        <f>IF(C15&lt;&gt;"",ROW()-5,"")</f>
        <v>#ERROR!</v>
      </c>
      <c r="C15" s="108"/>
      <c r="D15" s="109"/>
      <c r="E15" s="108"/>
      <c r="F15" s="30"/>
      <c r="G15" s="108"/>
      <c r="H15" s="110"/>
      <c r="I15" s="108"/>
      <c r="J15" s="107"/>
    </row>
    <row r="16">
      <c r="B16" s="100" t="str">
        <f>IF(C16&lt;&gt;"",ROW()-5,"")</f>
        <v>#ERROR!</v>
      </c>
      <c r="C16" s="111"/>
      <c r="D16" s="112"/>
      <c r="E16" s="111"/>
      <c r="F16" s="113"/>
      <c r="G16" s="111"/>
      <c r="H16" s="114"/>
      <c r="I16" s="111"/>
      <c r="J16" s="104"/>
    </row>
    <row r="17">
      <c r="B17" s="100" t="str">
        <f>IF(C17&lt;&gt;"",ROW()-5,"")</f>
        <v>#ERROR!</v>
      </c>
      <c r="C17" s="108"/>
      <c r="D17" s="109"/>
      <c r="E17" s="108"/>
      <c r="F17" s="30"/>
      <c r="G17" s="108"/>
      <c r="H17" s="110"/>
      <c r="I17" s="108"/>
      <c r="J17" s="107"/>
    </row>
    <row r="18">
      <c r="B18" s="100" t="str">
        <f>IF(C18&lt;&gt;"",ROW()-5,"")</f>
        <v>#ERROR!</v>
      </c>
      <c r="C18" s="111"/>
      <c r="D18" s="112"/>
      <c r="E18" s="111"/>
      <c r="F18" s="113"/>
      <c r="G18" s="111"/>
      <c r="H18" s="114"/>
      <c r="I18" s="111"/>
      <c r="J18" s="104"/>
    </row>
    <row r="19">
      <c r="B19" s="100" t="str">
        <f>IF(C19&lt;&gt;"",ROW()-5,"")</f>
        <v>#ERROR!</v>
      </c>
      <c r="C19" s="108"/>
      <c r="D19" s="109"/>
      <c r="E19" s="108"/>
      <c r="F19" s="30"/>
      <c r="G19" s="108"/>
      <c r="H19" s="110"/>
      <c r="I19" s="108"/>
      <c r="J19" s="107"/>
    </row>
    <row r="20">
      <c r="B20" s="100" t="str">
        <f>IF(C20&lt;&gt;"",ROW()-5,"")</f>
        <v>#ERROR!</v>
      </c>
      <c r="C20" s="111"/>
      <c r="D20" s="112"/>
      <c r="E20" s="111"/>
      <c r="F20" s="113"/>
      <c r="G20" s="111"/>
      <c r="H20" s="114"/>
      <c r="I20" s="111"/>
      <c r="J20" s="104"/>
    </row>
    <row r="21">
      <c r="B21" s="100" t="str">
        <f>IF(C21&lt;&gt;"",ROW()-5,"")</f>
        <v>#ERROR!</v>
      </c>
      <c r="C21" s="108"/>
      <c r="D21" s="109"/>
      <c r="E21" s="108"/>
      <c r="F21" s="30"/>
      <c r="G21" s="108"/>
      <c r="H21" s="110"/>
      <c r="I21" s="108"/>
      <c r="J21" s="107"/>
    </row>
    <row r="22">
      <c r="B22" s="100" t="str">
        <f>IF(C22&lt;&gt;"",ROW()-5,"")</f>
        <v>#ERROR!</v>
      </c>
      <c r="C22" s="111"/>
      <c r="D22" s="112"/>
      <c r="E22" s="111"/>
      <c r="F22" s="113"/>
      <c r="G22" s="111"/>
      <c r="H22" s="114"/>
      <c r="I22" s="111"/>
      <c r="J22" s="104"/>
    </row>
    <row r="23">
      <c r="B23" s="100" t="str">
        <f>IF(C23&lt;&gt;"",ROW()-5,"")</f>
        <v>#ERROR!</v>
      </c>
      <c r="C23" s="108"/>
      <c r="D23" s="109"/>
      <c r="E23" s="108"/>
      <c r="F23" s="30"/>
      <c r="G23" s="108"/>
      <c r="H23" s="110"/>
      <c r="I23" s="108"/>
      <c r="J23" s="107"/>
    </row>
    <row r="24">
      <c r="B24" s="100" t="str">
        <f>IF(C24&lt;&gt;"",ROW()-5,"")</f>
        <v>#ERROR!</v>
      </c>
      <c r="C24" s="111"/>
      <c r="D24" s="112"/>
      <c r="E24" s="111"/>
      <c r="F24" s="113"/>
      <c r="G24" s="111"/>
      <c r="H24" s="114"/>
      <c r="I24" s="111"/>
      <c r="J24" s="104"/>
    </row>
    <row r="25">
      <c r="B25" s="100" t="str">
        <f>IF(C25&lt;&gt;"",ROW()-5,"")</f>
        <v>#ERROR!</v>
      </c>
      <c r="C25" s="108"/>
      <c r="D25" s="109"/>
      <c r="E25" s="108"/>
      <c r="F25" s="30"/>
      <c r="G25" s="108"/>
      <c r="H25" s="110"/>
      <c r="I25" s="108"/>
      <c r="J25" s="107"/>
    </row>
    <row r="26">
      <c r="B26" s="100" t="str">
        <f>IF(C26&lt;&gt;"",ROW()-5,"")</f>
        <v>#ERROR!</v>
      </c>
      <c r="C26" s="111"/>
      <c r="D26" s="112"/>
      <c r="E26" s="111"/>
      <c r="F26" s="113"/>
      <c r="G26" s="111"/>
      <c r="H26" s="114"/>
      <c r="I26" s="111"/>
      <c r="J26" s="104"/>
    </row>
    <row r="27">
      <c r="B27" s="100" t="str">
        <f>IF(C27&lt;&gt;"",ROW()-5,"")</f>
        <v>#ERROR!</v>
      </c>
      <c r="C27" s="108"/>
      <c r="D27" s="109"/>
      <c r="E27" s="108"/>
      <c r="F27" s="30"/>
      <c r="G27" s="108"/>
      <c r="H27" s="110"/>
      <c r="I27" s="108"/>
      <c r="J27" s="107"/>
    </row>
    <row r="28">
      <c r="B28" s="100" t="str">
        <f>IF(C28&lt;&gt;"",ROW()-5,"")</f>
        <v>#ERROR!</v>
      </c>
      <c r="C28" s="111"/>
      <c r="D28" s="112"/>
      <c r="E28" s="111"/>
      <c r="F28" s="113"/>
      <c r="G28" s="111"/>
      <c r="H28" s="114"/>
      <c r="I28" s="111"/>
      <c r="J28" s="104"/>
    </row>
    <row r="29">
      <c r="B29" s="100" t="str">
        <f>IF(C29&lt;&gt;"",ROW()-5,"")</f>
        <v>#ERROR!</v>
      </c>
      <c r="C29" s="108"/>
      <c r="D29" s="109"/>
      <c r="E29" s="108"/>
      <c r="F29" s="30"/>
      <c r="G29" s="108"/>
      <c r="H29" s="110"/>
      <c r="I29" s="108"/>
      <c r="J29" s="107"/>
    </row>
    <row r="30">
      <c r="B30" s="100" t="str">
        <f>IF(C30&lt;&gt;"",ROW()-5,"")</f>
        <v>#ERROR!</v>
      </c>
      <c r="C30" s="111"/>
      <c r="D30" s="112"/>
      <c r="E30" s="111"/>
      <c r="F30" s="113"/>
      <c r="G30" s="111"/>
      <c r="H30" s="114"/>
      <c r="I30" s="111"/>
      <c r="J30" s="104"/>
    </row>
    <row r="31">
      <c r="B31" s="100" t="str">
        <f>IF(C31&lt;&gt;"",ROW()-5,"")</f>
        <v>#ERROR!</v>
      </c>
      <c r="C31" s="108"/>
      <c r="D31" s="109"/>
      <c r="E31" s="108"/>
      <c r="F31" s="30"/>
      <c r="G31" s="108"/>
      <c r="H31" s="110"/>
      <c r="I31" s="108"/>
      <c r="J31" s="107"/>
    </row>
    <row r="32">
      <c r="B32" s="100" t="str">
        <f>IF(C32&lt;&gt;"",ROW()-5,"")</f>
        <v>#ERROR!</v>
      </c>
      <c r="C32" s="111"/>
      <c r="D32" s="112"/>
      <c r="E32" s="111"/>
      <c r="F32" s="113"/>
      <c r="G32" s="111"/>
      <c r="H32" s="114"/>
      <c r="I32" s="111"/>
      <c r="J32" s="104"/>
    </row>
    <row r="33">
      <c r="B33" s="100" t="str">
        <f>IF(C33&lt;&gt;"",ROW()-5,"")</f>
        <v>#ERROR!</v>
      </c>
      <c r="C33" s="108"/>
      <c r="D33" s="109"/>
      <c r="E33" s="108"/>
      <c r="F33" s="30"/>
      <c r="G33" s="108"/>
      <c r="H33" s="110"/>
      <c r="I33" s="108"/>
      <c r="J33" s="107"/>
    </row>
    <row r="34">
      <c r="B34" s="100" t="str">
        <f>IF(C34&lt;&gt;"",ROW()-5,"")</f>
        <v>#ERROR!</v>
      </c>
      <c r="C34" s="111"/>
      <c r="D34" s="112"/>
      <c r="E34" s="111"/>
      <c r="F34" s="113"/>
      <c r="G34" s="111"/>
      <c r="H34" s="114"/>
      <c r="I34" s="111"/>
      <c r="J34" s="104"/>
    </row>
    <row r="35">
      <c r="B35" s="100" t="str">
        <f>IF(C35&lt;&gt;"",ROW()-5,"")</f>
        <v>#ERROR!</v>
      </c>
      <c r="C35" s="108"/>
      <c r="D35" s="109"/>
      <c r="E35" s="108"/>
      <c r="F35" s="30"/>
      <c r="G35" s="108"/>
      <c r="H35" s="110"/>
      <c r="I35" s="108"/>
      <c r="J35" s="107"/>
    </row>
    <row r="36">
      <c r="B36" s="100" t="str">
        <f>IF(C36&lt;&gt;"",ROW()-5,"")</f>
        <v>#ERROR!</v>
      </c>
      <c r="C36" s="111"/>
      <c r="D36" s="112"/>
      <c r="E36" s="111"/>
      <c r="F36" s="113"/>
      <c r="G36" s="111"/>
      <c r="H36" s="114"/>
      <c r="I36" s="111"/>
      <c r="J36" s="104"/>
    </row>
    <row r="37">
      <c r="B37" s="100" t="str">
        <f>IF(C37&lt;&gt;"",ROW()-5,"")</f>
        <v>#ERROR!</v>
      </c>
      <c r="C37" s="108"/>
      <c r="D37" s="109"/>
      <c r="E37" s="108"/>
      <c r="F37" s="30"/>
      <c r="G37" s="108"/>
      <c r="H37" s="110"/>
      <c r="I37" s="108"/>
      <c r="J37" s="107"/>
    </row>
    <row r="38">
      <c r="B38" s="100" t="str">
        <f>IF(C38&lt;&gt;"",ROW()-5,"")</f>
        <v>#ERROR!</v>
      </c>
      <c r="C38" s="111"/>
      <c r="D38" s="112"/>
      <c r="E38" s="111"/>
      <c r="F38" s="113"/>
      <c r="G38" s="111"/>
      <c r="H38" s="114"/>
      <c r="I38" s="111"/>
      <c r="J38" s="104"/>
    </row>
    <row r="39">
      <c r="B39" s="100" t="str">
        <f>IF(C39&lt;&gt;"",ROW()-5,"")</f>
        <v>#ERROR!</v>
      </c>
      <c r="C39" s="108"/>
      <c r="D39" s="109"/>
      <c r="E39" s="108"/>
      <c r="F39" s="30"/>
      <c r="G39" s="108"/>
      <c r="H39" s="110"/>
      <c r="I39" s="108"/>
      <c r="J39" s="107"/>
    </row>
    <row r="40">
      <c r="B40" s="100" t="str">
        <f>IF(C40&lt;&gt;"",ROW()-5,"")</f>
        <v>#ERROR!</v>
      </c>
      <c r="C40" s="111"/>
      <c r="D40" s="112"/>
      <c r="E40" s="111"/>
      <c r="F40" s="113"/>
      <c r="G40" s="111"/>
      <c r="H40" s="114"/>
      <c r="I40" s="111"/>
      <c r="J40" s="104"/>
    </row>
    <row r="41">
      <c r="B41" s="100" t="str">
        <f>IF(C41&lt;&gt;"",ROW()-5,"")</f>
        <v>#ERROR!</v>
      </c>
      <c r="C41" s="108"/>
      <c r="D41" s="109"/>
      <c r="E41" s="108"/>
      <c r="F41" s="30"/>
      <c r="G41" s="108"/>
      <c r="H41" s="110"/>
      <c r="I41" s="108"/>
      <c r="J41" s="107"/>
    </row>
    <row r="42">
      <c r="B42" s="100" t="str">
        <f>IF(C42&lt;&gt;"",ROW()-5,"")</f>
        <v>#ERROR!</v>
      </c>
      <c r="C42" s="111"/>
      <c r="D42" s="112"/>
      <c r="E42" s="111"/>
      <c r="F42" s="113"/>
      <c r="G42" s="111"/>
      <c r="H42" s="114"/>
      <c r="I42" s="111"/>
      <c r="J42" s="104"/>
    </row>
    <row r="43">
      <c r="B43" s="100" t="str">
        <f>IF(C43&lt;&gt;"",ROW()-5,"")</f>
        <v>#ERROR!</v>
      </c>
      <c r="C43" s="108"/>
      <c r="D43" s="109"/>
      <c r="E43" s="108"/>
      <c r="F43" s="30"/>
      <c r="G43" s="108"/>
      <c r="H43" s="110"/>
      <c r="I43" s="108"/>
      <c r="J43" s="107"/>
    </row>
    <row r="44">
      <c r="B44" s="100" t="str">
        <f>IF(C44&lt;&gt;"",ROW()-5,"")</f>
        <v>#ERROR!</v>
      </c>
      <c r="C44" s="111"/>
      <c r="D44" s="112"/>
      <c r="E44" s="111"/>
      <c r="F44" s="113"/>
      <c r="G44" s="111"/>
      <c r="H44" s="114"/>
      <c r="I44" s="111"/>
      <c r="J44" s="104"/>
    </row>
    <row r="45">
      <c r="B45" s="100" t="str">
        <f>IF(C45&lt;&gt;"",ROW()-5,"")</f>
        <v>#ERROR!</v>
      </c>
      <c r="C45" s="108"/>
      <c r="D45" s="109"/>
      <c r="E45" s="108"/>
      <c r="F45" s="30"/>
      <c r="G45" s="108"/>
      <c r="H45" s="110"/>
      <c r="I45" s="108"/>
      <c r="J45" s="107"/>
    </row>
    <row r="46">
      <c r="B46" s="100" t="str">
        <f>IF(C46&lt;&gt;"",ROW()-5,"")</f>
        <v>#ERROR!</v>
      </c>
      <c r="C46" s="111"/>
      <c r="D46" s="112"/>
      <c r="E46" s="111"/>
      <c r="F46" s="113"/>
      <c r="G46" s="111"/>
      <c r="H46" s="114"/>
      <c r="I46" s="111"/>
      <c r="J46" s="104"/>
    </row>
    <row r="47">
      <c r="B47" s="100" t="str">
        <f>IF(C47&lt;&gt;"",ROW()-5,"")</f>
        <v>#ERROR!</v>
      </c>
      <c r="C47" s="108"/>
      <c r="D47" s="109"/>
      <c r="E47" s="108"/>
      <c r="F47" s="30"/>
      <c r="G47" s="108"/>
      <c r="H47" s="110"/>
      <c r="I47" s="108"/>
      <c r="J47" s="107"/>
    </row>
    <row r="48">
      <c r="B48" s="100" t="str">
        <f>IF(C48&lt;&gt;"",ROW()-5,"")</f>
        <v>#ERROR!</v>
      </c>
      <c r="C48" s="111"/>
      <c r="D48" s="112"/>
      <c r="E48" s="111"/>
      <c r="F48" s="113"/>
      <c r="G48" s="111"/>
      <c r="H48" s="114"/>
      <c r="I48" s="111"/>
      <c r="J48" s="104"/>
    </row>
    <row r="49">
      <c r="B49" s="100" t="str">
        <f>IF(C49&lt;&gt;"",ROW()-5,"")</f>
        <v>#ERROR!</v>
      </c>
      <c r="C49" s="108"/>
      <c r="D49" s="109"/>
      <c r="E49" s="108"/>
      <c r="F49" s="30"/>
      <c r="G49" s="108"/>
      <c r="H49" s="110"/>
      <c r="I49" s="108"/>
      <c r="J49" s="107"/>
    </row>
    <row r="50">
      <c r="B50" s="100" t="str">
        <f>IF(C50&lt;&gt;"",ROW()-5,"")</f>
        <v>#ERROR!</v>
      </c>
      <c r="C50" s="111"/>
      <c r="D50" s="112"/>
      <c r="E50" s="111"/>
      <c r="F50" s="113"/>
      <c r="G50" s="111"/>
      <c r="H50" s="114"/>
      <c r="I50" s="111"/>
      <c r="J50" s="104"/>
    </row>
    <row r="51">
      <c r="B51" s="100" t="str">
        <f>IF(C51&lt;&gt;"",ROW()-5,"")</f>
        <v>#ERROR!</v>
      </c>
      <c r="C51" s="108"/>
      <c r="D51" s="109"/>
      <c r="E51" s="108"/>
      <c r="F51" s="30"/>
      <c r="G51" s="108"/>
      <c r="H51" s="110"/>
      <c r="I51" s="108"/>
      <c r="J51" s="107"/>
    </row>
    <row r="52">
      <c r="B52" s="100" t="str">
        <f>IF(C52&lt;&gt;"",ROW()-5,"")</f>
        <v>#ERROR!</v>
      </c>
      <c r="C52" s="111"/>
      <c r="D52" s="112"/>
      <c r="E52" s="111"/>
      <c r="F52" s="113"/>
      <c r="G52" s="111"/>
      <c r="H52" s="114"/>
      <c r="I52" s="111"/>
      <c r="J52" s="104"/>
    </row>
    <row r="53">
      <c r="B53" s="100" t="str">
        <f>IF(C53&lt;&gt;"",ROW()-5,"")</f>
        <v>#ERROR!</v>
      </c>
      <c r="C53" s="108"/>
      <c r="D53" s="109"/>
      <c r="E53" s="108"/>
      <c r="F53" s="30"/>
      <c r="G53" s="108"/>
      <c r="H53" s="110"/>
      <c r="I53" s="108"/>
      <c r="J53" s="107"/>
    </row>
    <row r="54">
      <c r="B54" s="100" t="str">
        <f>IF(C54&lt;&gt;"",ROW()-5,"")</f>
        <v>#ERROR!</v>
      </c>
      <c r="C54" s="111"/>
      <c r="D54" s="112"/>
      <c r="E54" s="111"/>
      <c r="F54" s="113"/>
      <c r="G54" s="111"/>
      <c r="H54" s="114"/>
      <c r="I54" s="111"/>
      <c r="J54" s="104"/>
    </row>
    <row r="55">
      <c r="B55" s="100" t="str">
        <f>IF(C55&lt;&gt;"",ROW()-5,"")</f>
        <v>#ERROR!</v>
      </c>
      <c r="C55" s="108"/>
      <c r="D55" s="109"/>
      <c r="E55" s="108"/>
      <c r="F55" s="30"/>
      <c r="G55" s="108"/>
      <c r="H55" s="110"/>
      <c r="I55" s="108"/>
      <c r="J55" s="107"/>
    </row>
    <row r="56">
      <c r="B56" s="39" t="s">
        <v>111</v>
      </c>
      <c r="F56" s="115">
        <f>SUM(F6:F55)</f>
        <v>0</v>
      </c>
    </row>
    <row r="58" ht="7.5" customHeight="1"/>
    <row r="59" ht="28.5" customHeight="1">
      <c r="B59" s="116" t="s">
        <v>112</v>
      </c>
    </row>
    <row r="60">
      <c r="B60" s="27" t="s">
        <v>9</v>
      </c>
      <c r="D60" s="81" t="s">
        <v>10</v>
      </c>
      <c r="F60" s="32" t="s">
        <v>11</v>
      </c>
      <c r="H60" s="117" t="s">
        <v>33</v>
      </c>
    </row>
    <row r="61" ht="37.5" customHeight="1">
      <c r="B61" s="118">
        <f>E3</f>
        <v>0</v>
      </c>
      <c r="D61" s="119">
        <f>SUM(F6:F55)</f>
        <v>0</v>
      </c>
      <c r="F61" s="120">
        <f>E3-SUM(F6:F55)</f>
        <v>0</v>
      </c>
      <c r="H61" s="121" t="str">
        <f>MAX(E3-SUM(F6:F55),0)</f>
        <v>#ERROR!</v>
      </c>
    </row>
    <row r="63">
      <c r="B63" s="40" t="s">
        <v>113</v>
      </c>
    </row>
    <row r="64">
      <c r="B64" s="122"/>
      <c r="D64" s="123" t="s">
        <v>9</v>
      </c>
      <c r="F64" s="123" t="s">
        <v>10</v>
      </c>
      <c r="H64" s="123" t="s">
        <v>11</v>
      </c>
    </row>
    <row r="65">
      <c r="B65" s="124" t="s">
        <v>114</v>
      </c>
      <c r="D65" s="16" t="str">
        <f>C3</f>
        <v/>
      </c>
      <c r="F65" s="17" t="str">
        <f>SUMIFS(F6:F55,C6:C55,"Franco")</f>
        <v>#ERROR!</v>
      </c>
      <c r="H65" s="18" t="str">
        <f t="shared" ref="H65:H66" si="1">D65-F65</f>
        <v>#ERROR!</v>
      </c>
    </row>
    <row r="66">
      <c r="B66" s="124" t="s">
        <v>115</v>
      </c>
      <c r="D66" s="16" t="str">
        <f>D3</f>
        <v/>
      </c>
      <c r="F66" s="17" t="str">
        <f>SUMIFS(F6:F55,C6:C55,"Pareja")</f>
        <v>#ERROR!</v>
      </c>
      <c r="H66" s="18" t="str">
        <f t="shared" si="1"/>
        <v>#ERROR!</v>
      </c>
    </row>
  </sheetData>
  <mergeCells count="25">
    <mergeCell ref="B1:J1"/>
    <mergeCell ref="B2:B3"/>
    <mergeCell ref="B56:E56"/>
    <mergeCell ref="B59:J59"/>
    <mergeCell ref="D60:E60"/>
    <mergeCell ref="F60:G60"/>
    <mergeCell ref="H60:I60"/>
    <mergeCell ref="B60:C60"/>
    <mergeCell ref="B61:C61"/>
    <mergeCell ref="D61:E61"/>
    <mergeCell ref="F61:G61"/>
    <mergeCell ref="H61:I61"/>
    <mergeCell ref="B63:J63"/>
    <mergeCell ref="B64:C64"/>
    <mergeCell ref="H64:I64"/>
    <mergeCell ref="D66:E66"/>
    <mergeCell ref="F66:G66"/>
    <mergeCell ref="D64:E64"/>
    <mergeCell ref="F64:G64"/>
    <mergeCell ref="B65:C65"/>
    <mergeCell ref="D65:E65"/>
    <mergeCell ref="F65:G65"/>
    <mergeCell ref="H65:I65"/>
    <mergeCell ref="B66:C66"/>
    <mergeCell ref="H66:I66"/>
  </mergeCells>
  <dataValidations>
    <dataValidation type="list" allowBlank="1" showErrorMessage="1" sqref="E6:E55">
      <formula1>"Alimentación,Transporte,Vivienda,Salud,Educación,Entretenimiento,Ropa,Servicios,Ahorro,Otros"</formula1>
    </dataValidation>
    <dataValidation type="list" allowBlank="1" showErrorMessage="1" sqref="I6:I55">
      <formula1>"Fijo,Variable,Extraordinario"</formula1>
    </dataValidation>
    <dataValidation type="list" allowBlank="1" showErrorMessage="1" sqref="C6:C55">
      <formula1>"Franco,Pareja"</formula1>
    </dataValidation>
    <dataValidation type="list" allowBlank="1" showErrorMessage="1" sqref="G6:G55">
      <formula1>"Efectivo,Tarjeta Débito,Tarjeta Crédito,Transferencia"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16161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8" width="20.13"/>
  </cols>
  <sheetData>
    <row r="1" ht="31.5" customHeight="1">
      <c r="B1" s="136" t="s">
        <v>143</v>
      </c>
    </row>
    <row r="2" ht="22.5" customHeight="1">
      <c r="B2" s="137" t="s">
        <v>144</v>
      </c>
    </row>
    <row r="4">
      <c r="B4" s="123" t="s">
        <v>145</v>
      </c>
      <c r="D4" s="123" t="s">
        <v>146</v>
      </c>
      <c r="F4" s="123" t="s">
        <v>147</v>
      </c>
    </row>
    <row r="5">
      <c r="B5" s="138" t="s">
        <v>21</v>
      </c>
      <c r="D5" s="138" t="s">
        <v>22</v>
      </c>
      <c r="F5" s="138" t="s">
        <v>114</v>
      </c>
    </row>
    <row r="6">
      <c r="B6" s="29" t="s">
        <v>23</v>
      </c>
      <c r="D6" s="29" t="s">
        <v>126</v>
      </c>
      <c r="F6" s="29" t="s">
        <v>115</v>
      </c>
    </row>
    <row r="7">
      <c r="B7" s="138" t="s">
        <v>25</v>
      </c>
      <c r="D7" s="138" t="s">
        <v>148</v>
      </c>
    </row>
    <row r="8">
      <c r="B8" s="29" t="s">
        <v>27</v>
      </c>
      <c r="D8" s="29" t="s">
        <v>28</v>
      </c>
    </row>
    <row r="9">
      <c r="B9" s="138" t="s">
        <v>29</v>
      </c>
    </row>
    <row r="10">
      <c r="B10" s="29" t="s">
        <v>30</v>
      </c>
    </row>
    <row r="11">
      <c r="B11" s="138" t="s">
        <v>31</v>
      </c>
    </row>
    <row r="12">
      <c r="B12" s="29" t="s">
        <v>32</v>
      </c>
    </row>
    <row r="13">
      <c r="B13" s="138" t="s">
        <v>33</v>
      </c>
    </row>
    <row r="14">
      <c r="B14" s="29" t="s">
        <v>34</v>
      </c>
    </row>
    <row r="20" ht="7.5" customHeight="1"/>
    <row r="21">
      <c r="B21" s="139" t="s">
        <v>149</v>
      </c>
    </row>
    <row r="22" ht="21.0" customHeight="1">
      <c r="B22" s="140" t="s">
        <v>150</v>
      </c>
    </row>
    <row r="23" ht="21.0" customHeight="1">
      <c r="B23" s="141" t="s">
        <v>151</v>
      </c>
    </row>
    <row r="24" ht="21.0" customHeight="1">
      <c r="B24" s="140" t="s">
        <v>152</v>
      </c>
    </row>
    <row r="25" ht="21.0" customHeight="1">
      <c r="B25" s="141" t="s">
        <v>153</v>
      </c>
    </row>
    <row r="26" ht="21.0" customHeight="1">
      <c r="B26" s="140" t="s">
        <v>154</v>
      </c>
    </row>
    <row r="27" ht="21.0" customHeight="1">
      <c r="B27" s="141" t="s">
        <v>155</v>
      </c>
    </row>
  </sheetData>
  <mergeCells count="28">
    <mergeCell ref="B1:G1"/>
    <mergeCell ref="B2:G2"/>
    <mergeCell ref="B4:C4"/>
    <mergeCell ref="D4:E4"/>
    <mergeCell ref="F4:G4"/>
    <mergeCell ref="D5:E5"/>
    <mergeCell ref="F5:G5"/>
    <mergeCell ref="B5:C5"/>
    <mergeCell ref="B6:C6"/>
    <mergeCell ref="D6:E6"/>
    <mergeCell ref="F6:G6"/>
    <mergeCell ref="B7:C7"/>
    <mergeCell ref="D7:E7"/>
    <mergeCell ref="D8:E8"/>
    <mergeCell ref="B21:G21"/>
    <mergeCell ref="B22:G22"/>
    <mergeCell ref="B23:G23"/>
    <mergeCell ref="B24:G24"/>
    <mergeCell ref="B25:G25"/>
    <mergeCell ref="B26:G26"/>
    <mergeCell ref="B27:G27"/>
    <mergeCell ref="B8:C8"/>
    <mergeCell ref="B9:C9"/>
    <mergeCell ref="B10:C10"/>
    <mergeCell ref="B11:C11"/>
    <mergeCell ref="B12:C12"/>
    <mergeCell ref="B13:C13"/>
    <mergeCell ref="B14:C14"/>
  </mergeCells>
  <drawing r:id="rId1"/>
</worksheet>
</file>